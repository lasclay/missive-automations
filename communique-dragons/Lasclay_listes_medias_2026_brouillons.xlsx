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ode d'emploi" sheetId="1" state="visible" r:id="rId1"/>
    <sheet name="Liste chaude (34)" sheetId="2" state="visible" r:id="rId2"/>
    <sheet name="Liste froide FPJQ (217)" sheetId="3" state="visible" r:id="rId3"/>
    <sheet name="Plan d'envoi" sheetId="4" state="visible" r:id="rId4"/>
    <sheet name="Sommaire" sheetId="5" state="visible" r:id="rId5"/>
  </sheets>
  <definedNames>
    <definedName name="_xlnm._FilterDatabase" localSheetId="1" hidden="1">'Liste chaude (34)'!$A$1:$J$35</definedName>
    <definedName name="_xlnm._FilterDatabase" localSheetId="2" hidden="1">'Liste froide FPJQ (217)'!$A$1:$N$218</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B2C"/>
      <sz val="16"/>
    </font>
    <font>
      <name val="Arial"/>
      <charset val="1"/>
      <family val="0"/>
      <color rgb="FF555555"/>
      <sz val="10"/>
    </font>
    <font>
      <name val="Arial"/>
      <charset val="1"/>
      <family val="0"/>
      <b val="1"/>
      <color rgb="FF1F3B2C"/>
      <sz val="11"/>
    </font>
    <font>
      <name val="Arial"/>
      <charset val="1"/>
      <family val="0"/>
      <b val="1"/>
      <sz val="10"/>
    </font>
    <font>
      <name val="Arial"/>
      <charset val="1"/>
      <family val="0"/>
      <sz val="10"/>
    </font>
    <font>
      <name val="Arial"/>
      <charset val="1"/>
      <family val="0"/>
      <b val="1"/>
      <color rgb="FFB00020"/>
      <sz val="10"/>
    </font>
    <font>
      <name val="Arial"/>
      <charset val="1"/>
      <family val="0"/>
      <b val="1"/>
      <color rgb="FFFFFFFF"/>
      <sz val="10"/>
    </font>
    <font>
      <name val="Arial"/>
      <family val="2"/>
      <sz val="10"/>
    </font>
    <font>
      <name val="Arial"/>
      <charset val="1"/>
      <family val="0"/>
      <color rgb="FF0563C1"/>
      <sz val="10"/>
      <u val="single"/>
    </font>
    <font>
      <name val="Arial"/>
      <charset val="1"/>
      <family val="0"/>
      <b val="1"/>
      <color rgb="FF1F3B2C"/>
      <sz val="14"/>
    </font>
    <font>
      <b val="1"/>
      <sz val="10"/>
    </font>
    <font>
      <b val="1"/>
      <sz val="11"/>
    </font>
    <font>
      <sz val="10"/>
    </font>
  </fonts>
  <fills count="6">
    <fill>
      <patternFill/>
    </fill>
    <fill>
      <patternFill patternType="gray125"/>
    </fill>
    <fill>
      <patternFill patternType="solid">
        <fgColor rgb="FFFFF9C4"/>
        <bgColor rgb="FFFFFF99"/>
      </patternFill>
    </fill>
    <fill>
      <patternFill patternType="solid">
        <fgColor rgb="FF1F3B2C"/>
        <bgColor rgb="FF333300"/>
      </patternFill>
    </fill>
    <fill>
      <patternFill patternType="solid">
        <fgColor rgb="FFE8F1EA"/>
        <bgColor rgb="FFFFFFFF"/>
      </patternFill>
    </fill>
    <fill>
      <patternFill patternType="solid">
        <fgColor rgb="00E3EADF"/>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 borderId="0" applyAlignment="1" pivotButton="0" quotePrefix="0" xfId="0">
      <alignment horizontal="general" vertical="bottom"/>
    </xf>
    <xf numFmtId="0" fontId="10" fillId="3" borderId="0" applyAlignment="1" pivotButton="0" quotePrefix="0" xfId="0">
      <alignment horizontal="left"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2" borderId="1" applyAlignment="1" pivotButton="0" quotePrefix="0" xfId="0">
      <alignment horizontal="general" vertical="top"/>
    </xf>
    <xf numFmtId="0" fontId="8" fillId="2" borderId="1" applyAlignment="1" pivotButton="0" quotePrefix="0" xfId="0">
      <alignment horizontal="general" vertical="top" wrapText="1"/>
    </xf>
    <xf numFmtId="0" fontId="9" fillId="0" borderId="1" applyAlignment="1" pivotButton="0" quotePrefix="0" xfId="0">
      <alignment horizontal="general" vertical="top"/>
    </xf>
    <xf numFmtId="0" fontId="7" fillId="4" borderId="1" applyAlignment="1" pivotButton="0" quotePrefix="0" xfId="0">
      <alignment horizontal="general" vertical="top"/>
    </xf>
    <xf numFmtId="0" fontId="12" fillId="0" borderId="1" applyAlignment="1" pivotButton="0" quotePrefix="0" xfId="0">
      <alignment horizontal="general" vertical="top"/>
    </xf>
    <xf numFmtId="0" fontId="7" fillId="0" borderId="1" applyAlignment="1" pivotButton="0" quotePrefix="0" xfId="0">
      <alignment horizontal="general" vertical="top"/>
    </xf>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0" fillId="3" borderId="1" applyAlignment="1" pivotButton="0" quotePrefix="0" xfId="0">
      <alignment horizontal="general" vertical="center"/>
    </xf>
    <xf numFmtId="0" fontId="8" fillId="0" borderId="1" applyAlignment="1" pivotButton="0" quotePrefix="0" xfId="0">
      <alignment horizontal="general" vertical="center"/>
    </xf>
    <xf numFmtId="0" fontId="7" fillId="0" borderId="1" applyAlignment="1" pivotButton="0" quotePrefix="0" xfId="0">
      <alignment horizontal="general"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 borderId="0" applyAlignment="1" pivotButton="0" quotePrefix="0" xfId="0">
      <alignment horizontal="general" vertical="bottom"/>
    </xf>
    <xf numFmtId="0" fontId="10" fillId="3" borderId="0" applyAlignment="1" pivotButton="0" quotePrefix="0" xfId="0">
      <alignment horizontal="left" vertical="center" wrapText="1"/>
    </xf>
    <xf numFmtId="0" fontId="14" fillId="5" borderId="0" pivotButton="0" quotePrefix="0" xfId="0"/>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2" borderId="1" applyAlignment="1" pivotButton="0" quotePrefix="0" xfId="0">
      <alignment horizontal="general" vertical="top"/>
    </xf>
    <xf numFmtId="0" fontId="8" fillId="2" borderId="1" applyAlignment="1" pivotButton="0" quotePrefix="0" xfId="0">
      <alignment horizontal="general" vertical="top" wrapText="1"/>
    </xf>
    <xf numFmtId="0" fontId="9" fillId="0" borderId="1" applyAlignment="1" pivotButton="0" quotePrefix="0" xfId="0">
      <alignment horizontal="general" vertical="top"/>
    </xf>
    <xf numFmtId="0" fontId="7" fillId="4" borderId="1" applyAlignment="1" pivotButton="0" quotePrefix="0" xfId="0">
      <alignment horizontal="general" vertical="top"/>
    </xf>
    <xf numFmtId="0" fontId="12" fillId="0" borderId="1" applyAlignment="1" pivotButton="0" quotePrefix="0" xfId="0">
      <alignment horizontal="general" vertical="top"/>
    </xf>
    <xf numFmtId="0" fontId="7" fillId="0" borderId="1" applyAlignment="1" pivotButton="0" quotePrefix="0" xfId="0">
      <alignment horizontal="general" vertical="top"/>
    </xf>
    <xf numFmtId="0" fontId="15" fillId="0" borderId="0" pivotButton="0" quotePrefix="0" xfId="0"/>
    <xf numFmtId="0" fontId="16" fillId="0" borderId="0" pivotButton="0" quotePrefix="0" xfId="0"/>
    <xf numFmtId="0" fontId="0" fillId="0" borderId="0" applyAlignment="1" pivotButton="0" quotePrefix="0" xfId="0">
      <alignment vertical="top" wrapText="1"/>
    </xf>
    <xf numFmtId="0" fontId="14" fillId="0" borderId="0" pivotButton="0" quotePrefix="0" xfId="0"/>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0" fillId="3" borderId="1" applyAlignment="1" pivotButton="0" quotePrefix="0" xfId="0">
      <alignment horizontal="general" vertical="center"/>
    </xf>
    <xf numFmtId="0" fontId="8" fillId="0" borderId="1" applyAlignment="1" pivotButton="0" quotePrefix="0" xfId="0">
      <alignment horizontal="general" vertical="center"/>
    </xf>
    <xf numFmtId="0" fontId="7" fillId="0" borderId="1" applyAlignment="1" pivotButton="0" quotePrefix="0" xfId="0">
      <alignment horizontal="general"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B2C"/>
          <bgColor rgb="FF000000"/>
        </patternFill>
      </fill>
    </dxf>
    <dxf>
      <fill>
        <patternFill patternType="solid">
          <bgColor rgb="FF000000"/>
        </patternFill>
      </fill>
    </dxf>
    <dxf>
      <fill>
        <patternFill patternType="solid">
          <fgColor rgb="FFFFFFFF"/>
          <bgColor rgb="FF000000"/>
        </patternFill>
      </fill>
    </dxf>
    <dxf>
      <fill>
        <patternFill patternType="solid">
          <fgColor rgb="FFB00020"/>
          <bgColor rgb="FF000000"/>
        </patternFill>
      </fill>
    </dxf>
    <dxf>
      <fill>
        <patternFill patternType="solid">
          <fgColor rgb="FFFFF9C4"/>
          <bgColor rgb="FF000000"/>
        </patternFill>
      </fill>
    </dxf>
    <dxf>
      <fill>
        <patternFill patternType="solid">
          <fgColor rgb="FFE8F1E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C0C0C0"/>
      <rgbColor rgb="FF808080"/>
      <rgbColor rgb="FF9999FF"/>
      <rgbColor rgb="FF993366"/>
      <rgbColor rgb="FFFFF9C4"/>
      <rgbColor rgb="FFE8F1EA"/>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2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Unknown Author</author>
  </authors>
  <commentList>
    <comment ref="G1" authorId="0" shapeId="0">
      <text>
        <t>« Correspondance confirmée » : le fil existe dans Missive, à la date indiquée.
« Non recoupée dans Missive » : adresse fournie par Gabriel, aucune trace dans la boîte LAS Media. Aucun test de rebond n'a été fait sur l'une ou l'autre.</t>
      </text>
    </comment>
  </commentList>
</comments>
</file>

<file path=xl/comments/comment2.xml><?xml version="1.0" encoding="utf-8"?>
<comments xmlns="http://schemas.openxmlformats.org/spreadsheetml/2006/main">
  <authors>
    <author>Unknown Author</author>
  </authors>
  <commentList>
    <comment ref="A1" authorId="0" shapeId="0">
      <text>
        <t>A = 3 secteurs pertinents ou plus · B = 2 · C = 1.
Secteurs retenus : agriculture, environnement, économie, consommation, sciences, plein air, art de vivre, mode.</t>
      </text>
    </comment>
    <comment ref="E1" authorId="0" shapeId="0">
      <text>
        <t>« Pigiste » = aucune organisation principale déclarée au répertoire FPJQ. Ces contacts utilisent souvent une adresse personnelle : à réserver à un message vraiment individualisé.</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fpjq.org/fr/repertoire-des-membres/detail/id/impbp2gZR2jytCPaO6RczcNk" TargetMode="External" Id="rId1" /><Relationship Type="http://schemas.openxmlformats.org/officeDocument/2006/relationships/hyperlink" Target="https://www.fpjq.org/fr/repertoire-des-membres/detail/id/natGAVpy4EIELu792r16gUXp" TargetMode="External" Id="rId2" /><Relationship Type="http://schemas.openxmlformats.org/officeDocument/2006/relationships/hyperlink" Target="https://www.fpjq.org/fr/repertoire-des-membres/detail/id/nat8rqeH1mVM6i5GXyKgDg8D" TargetMode="External" Id="rId3" /><Relationship Type="http://schemas.openxmlformats.org/officeDocument/2006/relationships/hyperlink" Target="https://www.fpjq.org/fr/repertoire-des-membres/detail/id/nat2LGmoxdtpiD9x3DK7HOVj" TargetMode="External" Id="rId4" /><Relationship Type="http://schemas.openxmlformats.org/officeDocument/2006/relationships/hyperlink" Target="https://www.fpjq.org/fr/repertoire-des-membres/detail/id/imp5HMfV25XKxHj4DPG9h4mr" TargetMode="External" Id="rId5" /><Relationship Type="http://schemas.openxmlformats.org/officeDocument/2006/relationships/hyperlink" Target="https://www.fpjq.org/fr/repertoire-des-membres/detail/id/impnufXSzy8GOEUqzeKPcifU" TargetMode="External" Id="rId6" /><Relationship Type="http://schemas.openxmlformats.org/officeDocument/2006/relationships/hyperlink" Target="https://www.fpjq.org/fr/repertoire-des-membres/detail/id/impWnRA2X9QXXn9NbbkzY7yT" TargetMode="External" Id="rId7" /><Relationship Type="http://schemas.openxmlformats.org/officeDocument/2006/relationships/hyperlink" Target="https://www.fpjq.org/fr/repertoire-des-membres/detail/id/natD7SemLh5L0JwQkBND3Gre" TargetMode="External" Id="rId8" /><Relationship Type="http://schemas.openxmlformats.org/officeDocument/2006/relationships/hyperlink" Target="https://www.fpjq.org/fr/repertoire-des-membres/detail/id/impI041oh8mrkZrvsG9J5bt0" TargetMode="External" Id="rId9" /><Relationship Type="http://schemas.openxmlformats.org/officeDocument/2006/relationships/hyperlink" Target="https://www.fpjq.org/fr/repertoire-des-membres/detail/id/natbyqbw4i8kcpp8CJFKSOnI" TargetMode="External" Id="rId10" /><Relationship Type="http://schemas.openxmlformats.org/officeDocument/2006/relationships/hyperlink" Target="https://www.fpjq.org/fr/repertoire-des-membres/detail/id/natPhRurqggzkzOXrv0wZD0P" TargetMode="External" Id="rId11" /><Relationship Type="http://schemas.openxmlformats.org/officeDocument/2006/relationships/hyperlink" Target="https://www.fpjq.org/fr/repertoire-des-membres/detail/id/natRXAV3VqPBLWIRxNz0j2Dj" TargetMode="External" Id="rId12" /><Relationship Type="http://schemas.openxmlformats.org/officeDocument/2006/relationships/hyperlink" Target="https://www.fpjq.org/fr/repertoire-des-membres/detail/id/natR91tLLN2thqnS3t9uAjjU" TargetMode="External" Id="rId13" /><Relationship Type="http://schemas.openxmlformats.org/officeDocument/2006/relationships/hyperlink" Target="https://www.fpjq.org/fr/repertoire-des-membres/detail/id/natLTuW8wLtIvVvP0ts36OQf" TargetMode="External" Id="rId14" /><Relationship Type="http://schemas.openxmlformats.org/officeDocument/2006/relationships/hyperlink" Target="https://www.fpjq.org/fr/repertoire-des-membres/detail/id/natTccWa5uMGFrwK3HWU3RBU" TargetMode="External" Id="rId15" /><Relationship Type="http://schemas.openxmlformats.org/officeDocument/2006/relationships/hyperlink" Target="https://www.fpjq.org/fr/repertoire-des-membres/detail/id/impyfb2TevvJoqh2TN17NMSE" TargetMode="External" Id="rId16" /><Relationship Type="http://schemas.openxmlformats.org/officeDocument/2006/relationships/hyperlink" Target="https://www.fpjq.org/fr/repertoire-des-membres/detail/id/nat0y7gWXDTvNeG6HGiuQwJh" TargetMode="External" Id="rId17" /><Relationship Type="http://schemas.openxmlformats.org/officeDocument/2006/relationships/hyperlink" Target="https://www.fpjq.org/fr/repertoire-des-membres/detail/id/natGPwa706ihSKSQSw4MjSbf" TargetMode="External" Id="rId18" /><Relationship Type="http://schemas.openxmlformats.org/officeDocument/2006/relationships/hyperlink" Target="https://www.fpjq.org/fr/repertoire-des-membres/detail/id/impbbnsFq3CH67hI6N6VTOPB" TargetMode="External" Id="rId19" /><Relationship Type="http://schemas.openxmlformats.org/officeDocument/2006/relationships/hyperlink" Target="https://www.fpjq.org/fr/repertoire-des-membres/detail/id/natP4WsEwQNQQaR1Js1WBSYk" TargetMode="External" Id="rId20" /><Relationship Type="http://schemas.openxmlformats.org/officeDocument/2006/relationships/hyperlink" Target="https://www.fpjq.org/fr/repertoire-des-membres/detail/id/natuUnwjpAdD868MTC0IVe59" TargetMode="External" Id="rId21" /><Relationship Type="http://schemas.openxmlformats.org/officeDocument/2006/relationships/hyperlink" Target="https://www.fpjq.org/fr/repertoire-des-membres/detail/id/natNsZuNtja2zRjxtcBTfQKk" TargetMode="External" Id="rId22" /><Relationship Type="http://schemas.openxmlformats.org/officeDocument/2006/relationships/hyperlink" Target="https://www.fpjq.org/fr/repertoire-des-membres/detail/id/natTSfSrvQxJnbekda7iBz80" TargetMode="External" Id="rId23" /><Relationship Type="http://schemas.openxmlformats.org/officeDocument/2006/relationships/hyperlink" Target="https://www.fpjq.org/fr/repertoire-des-membres/detail/id/impD3wnRZ6KXw6KLb01d2qMx" TargetMode="External" Id="rId24" /><Relationship Type="http://schemas.openxmlformats.org/officeDocument/2006/relationships/hyperlink" Target="https://www.fpjq.org/fr/repertoire-des-membres/detail/id/impAX5b15602i3A3HvUcUK3I" TargetMode="External" Id="rId25" /><Relationship Type="http://schemas.openxmlformats.org/officeDocument/2006/relationships/hyperlink" Target="https://www.fpjq.org/fr/repertoire-des-membres/detail/id/impH8VMM5TJhpp7rPNh14voc" TargetMode="External" Id="rId26" /><Relationship Type="http://schemas.openxmlformats.org/officeDocument/2006/relationships/hyperlink" Target="https://www.fpjq.org/fr/repertoire-des-membres/detail/id/impo7Iwyc2qjGzckMKz7lRQO" TargetMode="External" Id="rId27" /><Relationship Type="http://schemas.openxmlformats.org/officeDocument/2006/relationships/hyperlink" Target="https://www.fpjq.org/fr/repertoire-des-membres/detail/id/imph7B1KPV5rMDbZqDxMTcbQ" TargetMode="External" Id="rId28" /><Relationship Type="http://schemas.openxmlformats.org/officeDocument/2006/relationships/hyperlink" Target="https://www.fpjq.org/fr/repertoire-des-membres/detail/id/natLIUdUU1PBO2OK6Lqg07rF" TargetMode="External" Id="rId29" /><Relationship Type="http://schemas.openxmlformats.org/officeDocument/2006/relationships/hyperlink" Target="https://www.fpjq.org/fr/repertoire-des-membres/detail/id/natIADcAyaDxfEe2JBukBFjM" TargetMode="External" Id="rId30" /><Relationship Type="http://schemas.openxmlformats.org/officeDocument/2006/relationships/hyperlink" Target="https://www.fpjq.org/fr/repertoire-des-membres/detail/id/imp2VhuHVlwxvgVQ0qTj42jh" TargetMode="External" Id="rId31" /><Relationship Type="http://schemas.openxmlformats.org/officeDocument/2006/relationships/hyperlink" Target="https://www.fpjq.org/fr/repertoire-des-membres/detail/id/natgdn9L16ScEEDY6MrWgO68" TargetMode="External" Id="rId32" /><Relationship Type="http://schemas.openxmlformats.org/officeDocument/2006/relationships/hyperlink" Target="https://www.fpjq.org/fr/repertoire-des-membres/detail/id/natyQdSh6Za1UnE6HeWMyoWK" TargetMode="External" Id="rId33" /><Relationship Type="http://schemas.openxmlformats.org/officeDocument/2006/relationships/hyperlink" Target="https://www.fpjq.org/fr/repertoire-des-membres/detail/id/natP7udFnAQaEhCvC12LmaJ4" TargetMode="External" Id="rId34" /><Relationship Type="http://schemas.openxmlformats.org/officeDocument/2006/relationships/hyperlink" Target="https://www.fpjq.org/fr/repertoire-des-membres/detail/id/impWlwGdZ3EAJYFDadyHWD2J" TargetMode="External" Id="rId35" /><Relationship Type="http://schemas.openxmlformats.org/officeDocument/2006/relationships/hyperlink" Target="https://www.fpjq.org/fr/repertoire-des-membres/detail/id/natXWz1CpeFjxEcI7HngCvmI" TargetMode="External" Id="rId36" /><Relationship Type="http://schemas.openxmlformats.org/officeDocument/2006/relationships/hyperlink" Target="https://www.fpjq.org/fr/repertoire-des-membres/detail/id/natD9mqtm4HhW4OMsHTjbYya" TargetMode="External" Id="rId37" /><Relationship Type="http://schemas.openxmlformats.org/officeDocument/2006/relationships/hyperlink" Target="https://www.fpjq.org/fr/repertoire-des-membres/detail/id/nat9lQKPTcITSVJVSTBMoXZy" TargetMode="External" Id="rId38" /><Relationship Type="http://schemas.openxmlformats.org/officeDocument/2006/relationships/hyperlink" Target="https://www.fpjq.org/fr/repertoire-des-membres/detail/id/impaOmh57rq4QL7hEbKykqtN" TargetMode="External" Id="rId39" /><Relationship Type="http://schemas.openxmlformats.org/officeDocument/2006/relationships/hyperlink" Target="https://www.fpjq.org/fr/repertoire-des-membres/detail/id/impgss9grPG5fPOz1gwLLQwA" TargetMode="External" Id="rId40" /><Relationship Type="http://schemas.openxmlformats.org/officeDocument/2006/relationships/hyperlink" Target="https://www.fpjq.org/fr/repertoire-des-membres/detail/id/impVP8hKYiZkLRJVLUZJenE4" TargetMode="External" Id="rId41" /><Relationship Type="http://schemas.openxmlformats.org/officeDocument/2006/relationships/hyperlink" Target="https://www.fpjq.org/fr/repertoire-des-membres/detail/id/impbyGaSWIslqlbLUFO87iUH" TargetMode="External" Id="rId42" /><Relationship Type="http://schemas.openxmlformats.org/officeDocument/2006/relationships/hyperlink" Target="https://www.fpjq.org/fr/repertoire-des-membres/detail/id/natxspTOyPHnoma99PMActAW" TargetMode="External" Id="rId43" /><Relationship Type="http://schemas.openxmlformats.org/officeDocument/2006/relationships/hyperlink" Target="https://www.fpjq.org/fr/repertoire-des-membres/detail/id/natGOh59FHGqFmwfHwKUFV3z" TargetMode="External" Id="rId44" /><Relationship Type="http://schemas.openxmlformats.org/officeDocument/2006/relationships/hyperlink" Target="https://www.fpjq.org/fr/repertoire-des-membres/detail/id/nat0b5yk8FoRMm8LBnQISiaY" TargetMode="External" Id="rId45" /><Relationship Type="http://schemas.openxmlformats.org/officeDocument/2006/relationships/hyperlink" Target="https://www.fpjq.org/fr/repertoire-des-membres/detail/id/natm68mZkmAc5pTuGxlvdzQJ" TargetMode="External" Id="rId46" /><Relationship Type="http://schemas.openxmlformats.org/officeDocument/2006/relationships/hyperlink" Target="https://www.fpjq.org/fr/repertoire-des-membres/detail/id/impbJAaZIlHKxxVon5ff8ZwT" TargetMode="External" Id="rId47" /><Relationship Type="http://schemas.openxmlformats.org/officeDocument/2006/relationships/hyperlink" Target="https://www.fpjq.org/fr/repertoire-des-membres/detail/id/nat5K7PrR00rvXeoXverk419" TargetMode="External" Id="rId48" /><Relationship Type="http://schemas.openxmlformats.org/officeDocument/2006/relationships/hyperlink" Target="https://www.fpjq.org/fr/repertoire-des-membres/detail/id/impuOLvNgjRRx5SltEWmwCCf" TargetMode="External" Id="rId49" /><Relationship Type="http://schemas.openxmlformats.org/officeDocument/2006/relationships/hyperlink" Target="https://www.fpjq.org/fr/repertoire-des-membres/detail/id/natBUbfohYcrCvaN3mCg72fN" TargetMode="External" Id="rId50" /><Relationship Type="http://schemas.openxmlformats.org/officeDocument/2006/relationships/hyperlink" Target="https://www.fpjq.org/fr/repertoire-des-membres/detail/id/natxQfCesnYhrXySKgFjuGYE" TargetMode="External" Id="rId51" /><Relationship Type="http://schemas.openxmlformats.org/officeDocument/2006/relationships/hyperlink" Target="https://www.fpjq.org/fr/repertoire-des-membres/detail/id/natFuKnkj90iByL2kj40YKE7" TargetMode="External" Id="rId52" /><Relationship Type="http://schemas.openxmlformats.org/officeDocument/2006/relationships/hyperlink" Target="https://www.fpjq.org/fr/repertoire-des-membres/detail/id/natPNjZ7NkM5pOj4GwxCwzFz" TargetMode="External" Id="rId53" /><Relationship Type="http://schemas.openxmlformats.org/officeDocument/2006/relationships/hyperlink" Target="https://www.fpjq.org/fr/repertoire-des-membres/detail/id/imp2OnmkAg2a3HKIsUV3XBp6" TargetMode="External" Id="rId54" /><Relationship Type="http://schemas.openxmlformats.org/officeDocument/2006/relationships/hyperlink" Target="https://www.fpjq.org/fr/repertoire-des-membres/detail/id/impbPJTV90g7Ar6zUpBkhN8u" TargetMode="External" Id="rId55" /><Relationship Type="http://schemas.openxmlformats.org/officeDocument/2006/relationships/hyperlink" Target="https://www.fpjq.org/fr/repertoire-des-membres/detail/id/natkxkuzL6MPgPtF367cEX69" TargetMode="External" Id="rId56" /><Relationship Type="http://schemas.openxmlformats.org/officeDocument/2006/relationships/hyperlink" Target="https://www.fpjq.org/fr/repertoire-des-membres/detail/id/natdgjQYTDT4egjTRIKI21PO" TargetMode="External" Id="rId57" /><Relationship Type="http://schemas.openxmlformats.org/officeDocument/2006/relationships/hyperlink" Target="https://www.fpjq.org/fr/repertoire-des-membres/detail/id/natZL2EDDqpH0l3yqHMvvJ3G" TargetMode="External" Id="rId58" /><Relationship Type="http://schemas.openxmlformats.org/officeDocument/2006/relationships/hyperlink" Target="https://www.fpjq.org/fr/repertoire-des-membres/detail/id/nat3ww5qX1IfV55WxZpKC88v" TargetMode="External" Id="rId59" /><Relationship Type="http://schemas.openxmlformats.org/officeDocument/2006/relationships/hyperlink" Target="https://www.fpjq.org/fr/repertoire-des-membres/detail/id/natC670N3KujcI7I8XtmragM" TargetMode="External" Id="rId60" /><Relationship Type="http://schemas.openxmlformats.org/officeDocument/2006/relationships/hyperlink" Target="https://www.fpjq.org/fr/repertoire-des-membres/detail/id/natXpw0vzTEqvqq7X60vB5Kq" TargetMode="External" Id="rId61" /><Relationship Type="http://schemas.openxmlformats.org/officeDocument/2006/relationships/hyperlink" Target="https://www.fpjq.org/fr/repertoire-des-membres/detail/id/impTsh3AA68BCQI19DeC1KEW" TargetMode="External" Id="rId62" /><Relationship Type="http://schemas.openxmlformats.org/officeDocument/2006/relationships/hyperlink" Target="https://www.fpjq.org/fr/repertoire-des-membres/detail/id/natH1yprrOj13wYESkm0QofE" TargetMode="External" Id="rId63" /><Relationship Type="http://schemas.openxmlformats.org/officeDocument/2006/relationships/hyperlink" Target="https://www.fpjq.org/fr/repertoire-des-membres/detail/id/impvuOSqKoBZXVJeugsAxidh" TargetMode="External" Id="rId64" /><Relationship Type="http://schemas.openxmlformats.org/officeDocument/2006/relationships/hyperlink" Target="https://www.fpjq.org/fr/repertoire-des-membres/detail/id/impkmvF6glOxdxnv7XNER7Fb" TargetMode="External" Id="rId65" /><Relationship Type="http://schemas.openxmlformats.org/officeDocument/2006/relationships/hyperlink" Target="https://www.fpjq.org/fr/repertoire-des-membres/detail/id/natuveyY1dLSS8ON1VJIyqB2" TargetMode="External" Id="rId66" /><Relationship Type="http://schemas.openxmlformats.org/officeDocument/2006/relationships/hyperlink" Target="https://www.fpjq.org/fr/repertoire-des-membres/detail/id/natkEehA14sBZIjLwHVXGeyD" TargetMode="External" Id="rId67" /><Relationship Type="http://schemas.openxmlformats.org/officeDocument/2006/relationships/hyperlink" Target="https://www.fpjq.org/fr/repertoire-des-membres/detail/id/nat6gRCxN0JtKRSa6EAZYfdg" TargetMode="External" Id="rId68" /><Relationship Type="http://schemas.openxmlformats.org/officeDocument/2006/relationships/hyperlink" Target="https://www.fpjq.org/fr/repertoire-des-membres/detail/id/impehYFtNuoM4LPg3nASeO7V" TargetMode="External" Id="rId69" /><Relationship Type="http://schemas.openxmlformats.org/officeDocument/2006/relationships/hyperlink" Target="https://www.fpjq.org/fr/repertoire-des-membres/detail/id/nat9zwgltNroRcaRdCJNPBMS" TargetMode="External" Id="rId70" /><Relationship Type="http://schemas.openxmlformats.org/officeDocument/2006/relationships/hyperlink" Target="https://www.fpjq.org/fr/repertoire-des-membres/detail/id/imp5KfiEtqkXHY5XsmSXcn13" TargetMode="External" Id="rId71" /><Relationship Type="http://schemas.openxmlformats.org/officeDocument/2006/relationships/hyperlink" Target="https://www.fpjq.org/fr/repertoire-des-membres/detail/id/natDRMpHGorbY7iAXYRAuNa6" TargetMode="External" Id="rId72" /><Relationship Type="http://schemas.openxmlformats.org/officeDocument/2006/relationships/hyperlink" Target="https://www.fpjq.org/fr/repertoire-des-membres/detail/id/imp7fnFHHswrQInG9WRowQ8B" TargetMode="External" Id="rId73" /><Relationship Type="http://schemas.openxmlformats.org/officeDocument/2006/relationships/hyperlink" Target="https://www.fpjq.org/fr/repertoire-des-membres/detail/id/nat4eKGbr2YRrvFOUfd5nsN3" TargetMode="External" Id="rId74" /><Relationship Type="http://schemas.openxmlformats.org/officeDocument/2006/relationships/hyperlink" Target="https://www.fpjq.org/fr/repertoire-des-membres/detail/id/natcI3MbwznxlLHuRwYk5btv" TargetMode="External" Id="rId75" /><Relationship Type="http://schemas.openxmlformats.org/officeDocument/2006/relationships/hyperlink" Target="https://www.fpjq.org/fr/repertoire-des-membres/detail/id/impdx2IxeFcD2zcZ9a7Fe85D" TargetMode="External" Id="rId76" /><Relationship Type="http://schemas.openxmlformats.org/officeDocument/2006/relationships/hyperlink" Target="https://www.fpjq.org/fr/repertoire-des-membres/detail/id/impQEaOeE7Vj3ple3N3rePqF" TargetMode="External" Id="rId77" /><Relationship Type="http://schemas.openxmlformats.org/officeDocument/2006/relationships/hyperlink" Target="https://www.fpjq.org/fr/repertoire-des-membres/detail/id/impUIY3B2NHD80D70lWYPzdG" TargetMode="External" Id="rId78" /><Relationship Type="http://schemas.openxmlformats.org/officeDocument/2006/relationships/hyperlink" Target="https://www.fpjq.org/fr/repertoire-des-membres/detail/id/impu5mwdxgrRCFM9Yx54aYII" TargetMode="External" Id="rId79" /><Relationship Type="http://schemas.openxmlformats.org/officeDocument/2006/relationships/hyperlink" Target="https://www.fpjq.org/fr/repertoire-des-membres/detail/id/impNOPzNMkAi9rSEDwUOPdE8" TargetMode="External" Id="rId80" /><Relationship Type="http://schemas.openxmlformats.org/officeDocument/2006/relationships/hyperlink" Target="https://www.fpjq.org/fr/repertoire-des-membres/detail/id/impXbjO4SNoN4vycMDpY7i0k" TargetMode="External" Id="rId81" /><Relationship Type="http://schemas.openxmlformats.org/officeDocument/2006/relationships/hyperlink" Target="https://www.fpjq.org/fr/repertoire-des-membres/detail/id/impKyWds70koqlOL0fOFisdO" TargetMode="External" Id="rId82" /><Relationship Type="http://schemas.openxmlformats.org/officeDocument/2006/relationships/hyperlink" Target="https://www.fpjq.org/fr/repertoire-des-membres/detail/id/impLGdVpefNgfmMJckcSMouL" TargetMode="External" Id="rId83" /><Relationship Type="http://schemas.openxmlformats.org/officeDocument/2006/relationships/hyperlink" Target="https://www.fpjq.org/fr/repertoire-des-membres/detail/id/impC1FMFo0fe1hvstxKmTAiC" TargetMode="External" Id="rId84" /><Relationship Type="http://schemas.openxmlformats.org/officeDocument/2006/relationships/hyperlink" Target="https://www.fpjq.org/fr/repertoire-des-membres/detail/id/impylPDE0wmzl4cRz4VHrSD1" TargetMode="External" Id="rId85" /><Relationship Type="http://schemas.openxmlformats.org/officeDocument/2006/relationships/hyperlink" Target="https://www.fpjq.org/fr/repertoire-des-membres/detail/id/impliirdn2UtmMheuORpIS0o" TargetMode="External" Id="rId86" /><Relationship Type="http://schemas.openxmlformats.org/officeDocument/2006/relationships/hyperlink" Target="https://www.fpjq.org/fr/repertoire-des-membres/detail/id/impYSUo0bOxvz1ytGNHviA2t" TargetMode="External" Id="rId87" /><Relationship Type="http://schemas.openxmlformats.org/officeDocument/2006/relationships/hyperlink" Target="https://www.fpjq.org/fr/repertoire-des-membres/detail/id/natg5bMAhcmFHVreIMSQH5RH" TargetMode="External" Id="rId88" /><Relationship Type="http://schemas.openxmlformats.org/officeDocument/2006/relationships/hyperlink" Target="https://www.fpjq.org/fr/repertoire-des-membres/detail/id/natndwRC2fRgL9c2IfvsEfLo" TargetMode="External" Id="rId89" /><Relationship Type="http://schemas.openxmlformats.org/officeDocument/2006/relationships/hyperlink" Target="https://www.fpjq.org/fr/repertoire-des-membres/detail/id/imppeWvGRUnIHZ11RGE6SEOX" TargetMode="External" Id="rId90" /><Relationship Type="http://schemas.openxmlformats.org/officeDocument/2006/relationships/hyperlink" Target="https://www.fpjq.org/fr/repertoire-des-membres/detail/id/nat6E2mgtMSLs2TL1u5UDqYV" TargetMode="External" Id="rId91" /><Relationship Type="http://schemas.openxmlformats.org/officeDocument/2006/relationships/hyperlink" Target="https://www.fpjq.org/fr/repertoire-des-membres/detail/id/impMFTb5WT1SMmdWzxYYfjt1" TargetMode="External" Id="rId92" /><Relationship Type="http://schemas.openxmlformats.org/officeDocument/2006/relationships/hyperlink" Target="https://www.fpjq.org/fr/repertoire-des-membres/detail/id/impxjcuhG7CcUCUH0OLxcdNv" TargetMode="External" Id="rId93" /><Relationship Type="http://schemas.openxmlformats.org/officeDocument/2006/relationships/hyperlink" Target="https://www.fpjq.org/fr/repertoire-des-membres/detail/id/impwBQFdvCIc74CuO82BzVnO" TargetMode="External" Id="rId94" /><Relationship Type="http://schemas.openxmlformats.org/officeDocument/2006/relationships/hyperlink" Target="https://www.fpjq.org/fr/repertoire-des-membres/detail/id/nat0k7uRulv8heKRHHnEnAsJ" TargetMode="External" Id="rId95" /><Relationship Type="http://schemas.openxmlformats.org/officeDocument/2006/relationships/hyperlink" Target="https://www.fpjq.org/fr/repertoire-des-membres/detail/id/natorNLV0Za64zN7mPW0kAdU" TargetMode="External" Id="rId96" /><Relationship Type="http://schemas.openxmlformats.org/officeDocument/2006/relationships/hyperlink" Target="https://www.fpjq.org/fr/repertoire-des-membres/detail/id/nat9JwxOIKroKtS7gjqih7FK" TargetMode="External" Id="rId97" /><Relationship Type="http://schemas.openxmlformats.org/officeDocument/2006/relationships/hyperlink" Target="https://www.fpjq.org/fr/repertoire-des-membres/detail/id/impz46U7KByQ7mUXTHGNWAhC" TargetMode="External" Id="rId98" /><Relationship Type="http://schemas.openxmlformats.org/officeDocument/2006/relationships/hyperlink" Target="https://www.fpjq.org/fr/repertoire-des-membres/detail/id/natmlJX1Oy4DNDV4Z5L338Mz" TargetMode="External" Id="rId99" /><Relationship Type="http://schemas.openxmlformats.org/officeDocument/2006/relationships/hyperlink" Target="https://www.fpjq.org/fr/repertoire-des-membres/detail/id/impIq17fFohYXjU589wuAn8H" TargetMode="External" Id="rId100" /><Relationship Type="http://schemas.openxmlformats.org/officeDocument/2006/relationships/hyperlink" Target="https://www.fpjq.org/fr/repertoire-des-membres/detail/id/impVev6fvkKxpoThS6BQDk91" TargetMode="External" Id="rId101" /><Relationship Type="http://schemas.openxmlformats.org/officeDocument/2006/relationships/hyperlink" Target="https://www.fpjq.org/fr/repertoire-des-membres/detail/id/natjXjX94bIunXzVWQkhzYn0" TargetMode="External" Id="rId102" /><Relationship Type="http://schemas.openxmlformats.org/officeDocument/2006/relationships/hyperlink" Target="https://www.fpjq.org/fr/repertoire-des-membres/detail/id/impdHF5RDnygWaRKZl6PrMvg" TargetMode="External" Id="rId103" /><Relationship Type="http://schemas.openxmlformats.org/officeDocument/2006/relationships/hyperlink" Target="https://www.fpjq.org/fr/repertoire-des-membres/detail/id/natCN0EwLI3wrxccsPi2SdFc" TargetMode="External" Id="rId104" /><Relationship Type="http://schemas.openxmlformats.org/officeDocument/2006/relationships/hyperlink" Target="https://www.fpjq.org/fr/repertoire-des-membres/detail/id/impITzXCxiBG6WUkI9mAfh7Z" TargetMode="External" Id="rId105" /><Relationship Type="http://schemas.openxmlformats.org/officeDocument/2006/relationships/hyperlink" Target="https://www.fpjq.org/fr/repertoire-des-membres/detail/id/impXDu5FIATNmu6dt7F3HR6N" TargetMode="External" Id="rId106" /><Relationship Type="http://schemas.openxmlformats.org/officeDocument/2006/relationships/hyperlink" Target="https://www.fpjq.org/fr/repertoire-des-membres/detail/id/impVm533HM0nIVVwNf2PvSkv" TargetMode="External" Id="rId107" /><Relationship Type="http://schemas.openxmlformats.org/officeDocument/2006/relationships/hyperlink" Target="https://www.fpjq.org/fr/repertoire-des-membres/detail/id/nat4I50uDZs1JOFdK2cD9B1x" TargetMode="External" Id="rId108" /><Relationship Type="http://schemas.openxmlformats.org/officeDocument/2006/relationships/hyperlink" Target="https://www.fpjq.org/fr/repertoire-des-membres/detail/id/impAXuZjN6Ef5CJPNxrbPAds" TargetMode="External" Id="rId109" /><Relationship Type="http://schemas.openxmlformats.org/officeDocument/2006/relationships/hyperlink" Target="https://www.fpjq.org/fr/repertoire-des-membres/detail/id/impxLzDoNYCNSTsDcN5QXEjO" TargetMode="External" Id="rId110" /><Relationship Type="http://schemas.openxmlformats.org/officeDocument/2006/relationships/hyperlink" Target="https://www.fpjq.org/fr/repertoire-des-membres/detail/id/imp3nptRihZtCykVgjikM50x" TargetMode="External" Id="rId111" /><Relationship Type="http://schemas.openxmlformats.org/officeDocument/2006/relationships/hyperlink" Target="https://www.fpjq.org/fr/repertoire-des-membres/detail/id/natLn51oVgPf2GO4JMoFWWNP" TargetMode="External" Id="rId112" /><Relationship Type="http://schemas.openxmlformats.org/officeDocument/2006/relationships/hyperlink" Target="https://www.fpjq.org/fr/repertoire-des-membres/detail/id/natDevDDScJTPFG44FGjTmzR" TargetMode="External" Id="rId113" /><Relationship Type="http://schemas.openxmlformats.org/officeDocument/2006/relationships/hyperlink" Target="https://www.fpjq.org/fr/repertoire-des-membres/detail/id/natpSovGgPNx445G4LboJnMx" TargetMode="External" Id="rId114" /><Relationship Type="http://schemas.openxmlformats.org/officeDocument/2006/relationships/hyperlink" Target="https://www.fpjq.org/fr/repertoire-des-membres/detail/id/natqK2G9lnL19rneWtibQJyQ" TargetMode="External" Id="rId115" /><Relationship Type="http://schemas.openxmlformats.org/officeDocument/2006/relationships/hyperlink" Target="https://www.fpjq.org/fr/repertoire-des-membres/detail/id/nat0Vk09fxHa1Jzh5AODqJFB" TargetMode="External" Id="rId116" /><Relationship Type="http://schemas.openxmlformats.org/officeDocument/2006/relationships/hyperlink" Target="https://www.fpjq.org/fr/repertoire-des-membres/detail/id/natsadIMvTRumfsWhYjRzAdV" TargetMode="External" Id="rId117" /><Relationship Type="http://schemas.openxmlformats.org/officeDocument/2006/relationships/hyperlink" Target="https://www.fpjq.org/fr/repertoire-des-membres/detail/id/nathlLEO0GsBcvYci7qggD8N" TargetMode="External" Id="rId118" /><Relationship Type="http://schemas.openxmlformats.org/officeDocument/2006/relationships/hyperlink" Target="https://www.fpjq.org/fr/repertoire-des-membres/detail/id/impNzQv3SXpb1BTbm8THSru5" TargetMode="External" Id="rId119" /><Relationship Type="http://schemas.openxmlformats.org/officeDocument/2006/relationships/hyperlink" Target="https://www.fpjq.org/fr/repertoire-des-membres/detail/id/impU64KxxpzxfGuokULaXT9S" TargetMode="External" Id="rId120" /><Relationship Type="http://schemas.openxmlformats.org/officeDocument/2006/relationships/hyperlink" Target="https://www.fpjq.org/fr/repertoire-des-membres/detail/id/impftcQJ3XGfRU5KG78nobCW" TargetMode="External" Id="rId121" /><Relationship Type="http://schemas.openxmlformats.org/officeDocument/2006/relationships/hyperlink" Target="https://www.fpjq.org/fr/repertoire-des-membres/detail/id/impAiV0uZb402MpIr8HAPYi7" TargetMode="External" Id="rId122" /><Relationship Type="http://schemas.openxmlformats.org/officeDocument/2006/relationships/hyperlink" Target="https://www.fpjq.org/fr/repertoire-des-membres/detail/id/imp0EnfZWIRBwn4zInjyCLTK" TargetMode="External" Id="rId123" /><Relationship Type="http://schemas.openxmlformats.org/officeDocument/2006/relationships/hyperlink" Target="https://www.fpjq.org/fr/repertoire-des-membres/detail/id/impQwrjb1GUFVZiv41GUJyR8" TargetMode="External" Id="rId124" /><Relationship Type="http://schemas.openxmlformats.org/officeDocument/2006/relationships/hyperlink" Target="https://www.fpjq.org/fr/repertoire-des-membres/detail/id/imp2A4vIbhAp4vDCDajvyauc" TargetMode="External" Id="rId125" /><Relationship Type="http://schemas.openxmlformats.org/officeDocument/2006/relationships/hyperlink" Target="https://www.fpjq.org/fr/repertoire-des-membres/detail/id/natLrlhccRb0VoEXOszCpviz" TargetMode="External" Id="rId126" /><Relationship Type="http://schemas.openxmlformats.org/officeDocument/2006/relationships/hyperlink" Target="https://www.fpjq.org/fr/repertoire-des-membres/detail/id/natOWHDIHW4yvdNgEpSoZZRi" TargetMode="External" Id="rId127" /><Relationship Type="http://schemas.openxmlformats.org/officeDocument/2006/relationships/hyperlink" Target="https://www.fpjq.org/fr/repertoire-des-membres/detail/id/impqshTIkmpbkRdYATQiOFJ2" TargetMode="External" Id="rId128" /><Relationship Type="http://schemas.openxmlformats.org/officeDocument/2006/relationships/hyperlink" Target="https://www.fpjq.org/fr/repertoire-des-membres/detail/id/natHOe2HkMpcHOEXVMWOhzEo" TargetMode="External" Id="rId129" /><Relationship Type="http://schemas.openxmlformats.org/officeDocument/2006/relationships/hyperlink" Target="https://www.fpjq.org/fr/repertoire-des-membres/detail/id/nat0DKWmbDMTnvYXH9xRzIVU" TargetMode="External" Id="rId130" /><Relationship Type="http://schemas.openxmlformats.org/officeDocument/2006/relationships/hyperlink" Target="https://www.fpjq.org/fr/repertoire-des-membres/detail/id/imp0UbwmHIeqQ2LAbLxjAfjL" TargetMode="External" Id="rId131" /><Relationship Type="http://schemas.openxmlformats.org/officeDocument/2006/relationships/hyperlink" Target="https://www.fpjq.org/fr/repertoire-des-membres/detail/id/impEMpA3b7yXy4t9kL4Y94Yr" TargetMode="External" Id="rId132" /><Relationship Type="http://schemas.openxmlformats.org/officeDocument/2006/relationships/hyperlink" Target="https://www.fpjq.org/fr/repertoire-des-membres/detail/id/impyq9ajTasQwErhwOVyTSZ7" TargetMode="External" Id="rId133" /><Relationship Type="http://schemas.openxmlformats.org/officeDocument/2006/relationships/hyperlink" Target="https://www.fpjq.org/fr/repertoire-des-membres/detail/id/impDv9aHRftsS39y4HOjWtqf" TargetMode="External" Id="rId134" /><Relationship Type="http://schemas.openxmlformats.org/officeDocument/2006/relationships/hyperlink" Target="https://www.fpjq.org/fr/repertoire-des-membres/detail/id/imp0TIvZPHPhfZTcLSfAQv5U" TargetMode="External" Id="rId135" /><Relationship Type="http://schemas.openxmlformats.org/officeDocument/2006/relationships/hyperlink" Target="https://www.fpjq.org/fr/repertoire-des-membres/detail/id/nat6VaE1epCNHLvtVjL9GeIL" TargetMode="External" Id="rId136" /><Relationship Type="http://schemas.openxmlformats.org/officeDocument/2006/relationships/hyperlink" Target="https://www.fpjq.org/fr/repertoire-des-membres/detail/id/natNDqQm6ARZKnPrljS0FNbr" TargetMode="External" Id="rId137" /><Relationship Type="http://schemas.openxmlformats.org/officeDocument/2006/relationships/hyperlink" Target="https://www.fpjq.org/fr/repertoire-des-membres/detail/id/impz26HTzqXQGymBUjwmDfV1" TargetMode="External" Id="rId138" /><Relationship Type="http://schemas.openxmlformats.org/officeDocument/2006/relationships/hyperlink" Target="https://www.fpjq.org/fr/repertoire-des-membres/detail/id/impX0FTRqgsIFjeh1nH1AUro" TargetMode="External" Id="rId139" /><Relationship Type="http://schemas.openxmlformats.org/officeDocument/2006/relationships/hyperlink" Target="https://www.fpjq.org/fr/repertoire-des-membres/detail/id/nat4PoguifAkdba4JD1k42Bb" TargetMode="External" Id="rId140" /><Relationship Type="http://schemas.openxmlformats.org/officeDocument/2006/relationships/hyperlink" Target="https://www.fpjq.org/fr/repertoire-des-membres/detail/id/natK71oT6xuNNTfbmz0hNxq7" TargetMode="External" Id="rId141" /><Relationship Type="http://schemas.openxmlformats.org/officeDocument/2006/relationships/hyperlink" Target="https://www.fpjq.org/fr/repertoire-des-membres/detail/id/impEktwD7xd4F9KRo6EdpBIU" TargetMode="External" Id="rId142" /><Relationship Type="http://schemas.openxmlformats.org/officeDocument/2006/relationships/hyperlink" Target="https://www.fpjq.org/fr/repertoire-des-membres/detail/id/natilRTMi7W9SGPpNftgRxab" TargetMode="External" Id="rId143" /><Relationship Type="http://schemas.openxmlformats.org/officeDocument/2006/relationships/hyperlink" Target="https://www.fpjq.org/fr/repertoire-des-membres/detail/id/natobF3zopAeeUw3A5R0WCDZ" TargetMode="External" Id="rId144" /><Relationship Type="http://schemas.openxmlformats.org/officeDocument/2006/relationships/hyperlink" Target="https://www.fpjq.org/fr/repertoire-des-membres/detail/id/natGEap3weOzIdL1lOQfOMQ4" TargetMode="External" Id="rId145" /><Relationship Type="http://schemas.openxmlformats.org/officeDocument/2006/relationships/hyperlink" Target="https://www.fpjq.org/fr/repertoire-des-membres/detail/id/nat7cXrm2Nt4sMxlNL1MiudC" TargetMode="External" Id="rId146" /><Relationship Type="http://schemas.openxmlformats.org/officeDocument/2006/relationships/hyperlink" Target="https://www.fpjq.org/fr/repertoire-des-membres/detail/id/impy1dvX2Oaj9ddpyIFI58eN" TargetMode="External" Id="rId147" /><Relationship Type="http://schemas.openxmlformats.org/officeDocument/2006/relationships/hyperlink" Target="https://www.fpjq.org/fr/repertoire-des-membres/detail/id/natJQtMrHWwPb8BpivV1CPmY" TargetMode="External" Id="rId148" /><Relationship Type="http://schemas.openxmlformats.org/officeDocument/2006/relationships/hyperlink" Target="https://www.fpjq.org/fr/repertoire-des-membres/detail/id/impZh6PmUdtdIIsNzcGnkFoK" TargetMode="External" Id="rId149" /><Relationship Type="http://schemas.openxmlformats.org/officeDocument/2006/relationships/hyperlink" Target="https://www.fpjq.org/fr/repertoire-des-membres/detail/id/imp4pyWRr69PVQgIxYeGl6BX" TargetMode="External" Id="rId150" /><Relationship Type="http://schemas.openxmlformats.org/officeDocument/2006/relationships/hyperlink" Target="https://www.fpjq.org/fr/repertoire-des-membres/detail/id/implAKYIC6yVlwSMfVJciWle" TargetMode="External" Id="rId151" /><Relationship Type="http://schemas.openxmlformats.org/officeDocument/2006/relationships/hyperlink" Target="https://www.fpjq.org/fr/repertoire-des-membres/detail/id/impRRyKMhV2axdZ6hQ1R4AVD" TargetMode="External" Id="rId152" /><Relationship Type="http://schemas.openxmlformats.org/officeDocument/2006/relationships/hyperlink" Target="https://www.fpjq.org/fr/repertoire-des-membres/detail/id/natuVDukhCK7CEiQ2hewtSkT" TargetMode="External" Id="rId153" /><Relationship Type="http://schemas.openxmlformats.org/officeDocument/2006/relationships/hyperlink" Target="https://www.fpjq.org/fr/repertoire-des-membres/detail/id/nateJg3GDlreBeNZIRDpWpcS" TargetMode="External" Id="rId154" /><Relationship Type="http://schemas.openxmlformats.org/officeDocument/2006/relationships/hyperlink" Target="https://www.fpjq.org/fr/repertoire-des-membres/detail/id/natOtBuRT2CSAQEF1F5clTqp" TargetMode="External" Id="rId155" /><Relationship Type="http://schemas.openxmlformats.org/officeDocument/2006/relationships/hyperlink" Target="https://www.fpjq.org/fr/repertoire-des-membres/detail/id/natEsaDl2IbHzFiPq373Bzae" TargetMode="External" Id="rId156" /><Relationship Type="http://schemas.openxmlformats.org/officeDocument/2006/relationships/hyperlink" Target="https://www.fpjq.org/fr/repertoire-des-membres/detail/id/natd69JVZ1r9PgG4ay8llyvI" TargetMode="External" Id="rId157" /><Relationship Type="http://schemas.openxmlformats.org/officeDocument/2006/relationships/hyperlink" Target="https://www.fpjq.org/fr/repertoire-des-membres/detail/id/imp7IPG6Bp5qUqZN7wExSPnX" TargetMode="External" Id="rId158" /><Relationship Type="http://schemas.openxmlformats.org/officeDocument/2006/relationships/hyperlink" Target="https://www.fpjq.org/fr/repertoire-des-membres/detail/id/natluxRSbyHw36BIOJJpzyZP" TargetMode="External" Id="rId159" /><Relationship Type="http://schemas.openxmlformats.org/officeDocument/2006/relationships/hyperlink" Target="https://www.fpjq.org/fr/repertoire-des-membres/detail/id/impM1cEdA4gsiGQxgTGGQxGH" TargetMode="External" Id="rId160" /><Relationship Type="http://schemas.openxmlformats.org/officeDocument/2006/relationships/hyperlink" Target="https://www.fpjq.org/fr/repertoire-des-membres/detail/id/impA87fq0FwIrvGAfeJXLOjX" TargetMode="External" Id="rId161" /><Relationship Type="http://schemas.openxmlformats.org/officeDocument/2006/relationships/hyperlink" Target="https://www.fpjq.org/fr/repertoire-des-membres/detail/id/natIyco6EZN4zPBhBav4ZIpW" TargetMode="External" Id="rId162" /><Relationship Type="http://schemas.openxmlformats.org/officeDocument/2006/relationships/hyperlink" Target="https://www.fpjq.org/fr/repertoire-des-membres/detail/id/impsBavyehB89YOsYvvykQ2l" TargetMode="External" Id="rId163" /><Relationship Type="http://schemas.openxmlformats.org/officeDocument/2006/relationships/hyperlink" Target="https://www.fpjq.org/fr/repertoire-des-membres/detail/id/impj62HFvLMnWvNQqssvN8Cn" TargetMode="External" Id="rId164" /><Relationship Type="http://schemas.openxmlformats.org/officeDocument/2006/relationships/hyperlink" Target="https://www.fpjq.org/fr/repertoire-des-membres/detail/id/natdCABdBrNYD9yzR2cnxNb9" TargetMode="External" Id="rId165" /><Relationship Type="http://schemas.openxmlformats.org/officeDocument/2006/relationships/hyperlink" Target="https://www.fpjq.org/fr/repertoire-des-membres/detail/id/impDPPAh0Pn1U5PvFYi3EMiG" TargetMode="External" Id="rId166" /><Relationship Type="http://schemas.openxmlformats.org/officeDocument/2006/relationships/hyperlink" Target="https://www.fpjq.org/fr/repertoire-des-membres/detail/id/natXZFHBBcs5fxgtLvUiGfKi" TargetMode="External" Id="rId167" /><Relationship Type="http://schemas.openxmlformats.org/officeDocument/2006/relationships/hyperlink" Target="https://www.fpjq.org/fr/repertoire-des-membres/detail/id/nateqSN18XC19MF2tfMYyLME" TargetMode="External" Id="rId168" /><Relationship Type="http://schemas.openxmlformats.org/officeDocument/2006/relationships/hyperlink" Target="https://www.fpjq.org/fr/repertoire-des-membres/detail/id/impsn3PGh8C9JnmvuZBfE3tl" TargetMode="External" Id="rId169" /><Relationship Type="http://schemas.openxmlformats.org/officeDocument/2006/relationships/hyperlink" Target="https://www.fpjq.org/fr/repertoire-des-membres/detail/id/natxBgOtx0NcxF07QobsehSX" TargetMode="External" Id="rId170" /><Relationship Type="http://schemas.openxmlformats.org/officeDocument/2006/relationships/hyperlink" Target="https://www.fpjq.org/fr/repertoire-des-membres/detail/id/impasMC15xwFCcHyodsjslhf" TargetMode="External" Id="rId171" /><Relationship Type="http://schemas.openxmlformats.org/officeDocument/2006/relationships/hyperlink" Target="https://www.fpjq.org/fr/repertoire-des-membres/detail/id/natro2p2Jvcd0wxK5FsIff7s" TargetMode="External" Id="rId172" /><Relationship Type="http://schemas.openxmlformats.org/officeDocument/2006/relationships/hyperlink" Target="https://www.fpjq.org/fr/repertoire-des-membres/detail/id/natWqvu0CIbRVDVniYXTHFtz" TargetMode="External" Id="rId173" /><Relationship Type="http://schemas.openxmlformats.org/officeDocument/2006/relationships/hyperlink" Target="https://www.fpjq.org/fr/repertoire-des-membres/detail/id/imprzT4KgK1kAOvFfRW5Nnri" TargetMode="External" Id="rId174" /><Relationship Type="http://schemas.openxmlformats.org/officeDocument/2006/relationships/hyperlink" Target="https://www.fpjq.org/fr/repertoire-des-membres/detail/id/natO0LVy3YbPCZLIavMDR3sv" TargetMode="External" Id="rId175" /><Relationship Type="http://schemas.openxmlformats.org/officeDocument/2006/relationships/hyperlink" Target="https://www.fpjq.org/fr/repertoire-des-membres/detail/id/impLI5IserLZ8fh6G4Y4tt3f" TargetMode="External" Id="rId176" /><Relationship Type="http://schemas.openxmlformats.org/officeDocument/2006/relationships/hyperlink" Target="https://www.fpjq.org/fr/repertoire-des-membres/detail/id/impSpYfXCYgxF0rwnQUX7rbg" TargetMode="External" Id="rId177" /><Relationship Type="http://schemas.openxmlformats.org/officeDocument/2006/relationships/hyperlink" Target="https://www.fpjq.org/fr/repertoire-des-membres/detail/id/impPn7PKYP71pd3JChOPcio5" TargetMode="External" Id="rId178" /><Relationship Type="http://schemas.openxmlformats.org/officeDocument/2006/relationships/hyperlink" Target="https://www.fpjq.org/fr/repertoire-des-membres/detail/id/nat2PTMLXaQ9gzI7ZM2qInGa" TargetMode="External" Id="rId179" /><Relationship Type="http://schemas.openxmlformats.org/officeDocument/2006/relationships/hyperlink" Target="https://www.fpjq.org/fr/repertoire-des-membres/detail/id/imp4k3CtHIS7f68QSKtwVS5h" TargetMode="External" Id="rId180" /><Relationship Type="http://schemas.openxmlformats.org/officeDocument/2006/relationships/hyperlink" Target="https://www.fpjq.org/fr/repertoire-des-membres/detail/id/natOlrkNvkCGKGc9CCFAFp2A" TargetMode="External" Id="rId181" /><Relationship Type="http://schemas.openxmlformats.org/officeDocument/2006/relationships/hyperlink" Target="https://www.fpjq.org/fr/repertoire-des-membres/detail/id/impfl9oy1vNIXw1xxkQIcHHw" TargetMode="External" Id="rId182" /><Relationship Type="http://schemas.openxmlformats.org/officeDocument/2006/relationships/hyperlink" Target="https://www.fpjq.org/fr/repertoire-des-membres/detail/id/natrjE9JT0hJwpbTPmxyfSpU" TargetMode="External" Id="rId183" /><Relationship Type="http://schemas.openxmlformats.org/officeDocument/2006/relationships/hyperlink" Target="https://www.fpjq.org/fr/repertoire-des-membres/detail/id/impO1DzqwUI1PqpBSdCCDSFO" TargetMode="External" Id="rId184" /><Relationship Type="http://schemas.openxmlformats.org/officeDocument/2006/relationships/hyperlink" Target="https://www.fpjq.org/fr/repertoire-des-membres/detail/id/natRQ0cABKP1IcXiL9rwwuAb" TargetMode="External" Id="rId185" /><Relationship Type="http://schemas.openxmlformats.org/officeDocument/2006/relationships/hyperlink" Target="https://www.fpjq.org/fr/repertoire-des-membres/detail/id/natYoUtId4pbf0NVpLLJj3WY" TargetMode="External" Id="rId186" /><Relationship Type="http://schemas.openxmlformats.org/officeDocument/2006/relationships/hyperlink" Target="https://www.fpjq.org/fr/repertoire-des-membres/detail/id/impYInsKUo5kJRiGBc4KiR8V" TargetMode="External" Id="rId187" /><Relationship Type="http://schemas.openxmlformats.org/officeDocument/2006/relationships/hyperlink" Target="https://www.fpjq.org/fr/repertoire-des-membres/detail/id/naticGTcMVEHzrRzDuLqmJ49" TargetMode="External" Id="rId188" /><Relationship Type="http://schemas.openxmlformats.org/officeDocument/2006/relationships/hyperlink" Target="https://www.fpjq.org/fr/repertoire-des-membres/detail/id/natAYr2IPYV6rnzebC87WTpE" TargetMode="External" Id="rId189" /><Relationship Type="http://schemas.openxmlformats.org/officeDocument/2006/relationships/hyperlink" Target="https://www.fpjq.org/fr/repertoire-des-membres/detail/id/imp2b7KA4MQdToh9gDbsATez" TargetMode="External" Id="rId190" /><Relationship Type="http://schemas.openxmlformats.org/officeDocument/2006/relationships/hyperlink" Target="https://www.fpjq.org/fr/repertoire-des-membres/detail/id/impU8PTHJrZuiGQZwo9vCam4" TargetMode="External" Id="rId191" /><Relationship Type="http://schemas.openxmlformats.org/officeDocument/2006/relationships/hyperlink" Target="https://www.fpjq.org/fr/repertoire-des-membres/detail/id/impnMkUmSroVKRTsfSI912HH" TargetMode="External" Id="rId192" /><Relationship Type="http://schemas.openxmlformats.org/officeDocument/2006/relationships/hyperlink" Target="https://www.fpjq.org/fr/repertoire-des-membres/detail/id/impueSLukbHGtGnKm6rX3fcv" TargetMode="External" Id="rId193" /><Relationship Type="http://schemas.openxmlformats.org/officeDocument/2006/relationships/hyperlink" Target="https://www.fpjq.org/fr/repertoire-des-membres/detail/id/natFCEN1s6nMt81mWduqVUVw" TargetMode="External" Id="rId194" /><Relationship Type="http://schemas.openxmlformats.org/officeDocument/2006/relationships/hyperlink" Target="https://www.fpjq.org/fr/repertoire-des-membres/detail/id/natctpKPY0jZkM1EEzTqhH0X" TargetMode="External" Id="rId195" /><Relationship Type="http://schemas.openxmlformats.org/officeDocument/2006/relationships/hyperlink" Target="https://www.fpjq.org/fr/repertoire-des-membres/detail/id/natAKIDp8WYMVNqOUtRrH9eA" TargetMode="External" Id="rId196" /><Relationship Type="http://schemas.openxmlformats.org/officeDocument/2006/relationships/hyperlink" Target="https://www.fpjq.org/fr/repertoire-des-membres/detail/id/natuIfqp094281bEgcKs8VyV" TargetMode="External" Id="rId197" /><Relationship Type="http://schemas.openxmlformats.org/officeDocument/2006/relationships/hyperlink" Target="https://www.fpjq.org/fr/repertoire-des-membres/detail/id/nat6PxYOzyjBSjlUhbsRkUj9" TargetMode="External" Id="rId198" /><Relationship Type="http://schemas.openxmlformats.org/officeDocument/2006/relationships/hyperlink" Target="https://www.fpjq.org/fr/repertoire-des-membres/detail/id/natnBrAlwNOxgs1yBbJWhSIm" TargetMode="External" Id="rId199" /><Relationship Type="http://schemas.openxmlformats.org/officeDocument/2006/relationships/hyperlink" Target="https://www.fpjq.org/fr/repertoire-des-membres/detail/id/impSGMadmDSy9J2BbXiFLR7Q" TargetMode="External" Id="rId200" /><Relationship Type="http://schemas.openxmlformats.org/officeDocument/2006/relationships/hyperlink" Target="https://www.fpjq.org/fr/repertoire-des-membres/detail/id/natTRMDkyDmLxRgeKrzuld3c" TargetMode="External" Id="rId201" /><Relationship Type="http://schemas.openxmlformats.org/officeDocument/2006/relationships/hyperlink" Target="https://www.fpjq.org/fr/repertoire-des-membres/detail/id/nat8GPfWuL6bwV13vEuiuBN9" TargetMode="External" Id="rId202" /><Relationship Type="http://schemas.openxmlformats.org/officeDocument/2006/relationships/hyperlink" Target="https://www.fpjq.org/fr/repertoire-des-membres/detail/id/impYdquWRRqReWti6sZwyYix" TargetMode="External" Id="rId203" /><Relationship Type="http://schemas.openxmlformats.org/officeDocument/2006/relationships/hyperlink" Target="https://www.fpjq.org/fr/repertoire-des-membres/detail/id/impUYrymlXc4KENPEmaI6o6r" TargetMode="External" Id="rId204" /><Relationship Type="http://schemas.openxmlformats.org/officeDocument/2006/relationships/hyperlink" Target="https://www.fpjq.org/fr/repertoire-des-membres/detail/id/natfsRaPF5VuiMCyNaVrShgQ" TargetMode="External" Id="rId205" /><Relationship Type="http://schemas.openxmlformats.org/officeDocument/2006/relationships/hyperlink" Target="https://www.fpjq.org/fr/repertoire-des-membres/detail/id/natuqYl0sOhjXxvoibmjtMpK" TargetMode="External" Id="rId206" /><Relationship Type="http://schemas.openxmlformats.org/officeDocument/2006/relationships/hyperlink" Target="https://www.fpjq.org/fr/repertoire-des-membres/detail/id/impe1KYr1J4jUnRfGPizKqig" TargetMode="External" Id="rId207" /><Relationship Type="http://schemas.openxmlformats.org/officeDocument/2006/relationships/hyperlink" Target="https://www.fpjq.org/fr/repertoire-des-membres/detail/id/impmkUBTGNHZSz5xoKBpvrkI" TargetMode="External" Id="rId208" /><Relationship Type="http://schemas.openxmlformats.org/officeDocument/2006/relationships/hyperlink" Target="https://www.fpjq.org/fr/repertoire-des-membres/detail/id/impBj3N98jzkDooQdVbrfvqe" TargetMode="External" Id="rId209" /><Relationship Type="http://schemas.openxmlformats.org/officeDocument/2006/relationships/hyperlink" Target="https://www.fpjq.org/fr/repertoire-des-membres/detail/id/impy1Z5WHeGUYIEJv1xj5ZbV" TargetMode="External" Id="rId210" /><Relationship Type="http://schemas.openxmlformats.org/officeDocument/2006/relationships/hyperlink" Target="https://www.fpjq.org/fr/repertoire-des-membres/detail/id/natRBjwapKy9nb0bjFUyrjjM" TargetMode="External" Id="rId211" /><Relationship Type="http://schemas.openxmlformats.org/officeDocument/2006/relationships/hyperlink" Target="https://www.fpjq.org/fr/repertoire-des-membres/detail/id/impnL0wiWwwG3blP603riYGf" TargetMode="External" Id="rId212" /><Relationship Type="http://schemas.openxmlformats.org/officeDocument/2006/relationships/hyperlink" Target="https://www.fpjq.org/fr/repertoire-des-membres/detail/id/nat5XIb2NayAu7IIWCMGMzKw" TargetMode="External" Id="rId213" /><Relationship Type="http://schemas.openxmlformats.org/officeDocument/2006/relationships/hyperlink" Target="https://www.fpjq.org/fr/repertoire-des-membres/detail/id/natxl8x7HG9U8o5YLUO1pSB1" TargetMode="External" Id="rId214" /><Relationship Type="http://schemas.openxmlformats.org/officeDocument/2006/relationships/hyperlink" Target="https://www.fpjq.org/fr/repertoire-des-membres/detail/id/natj4uZme01jEywYIv3mgzjf" TargetMode="External" Id="rId215" /><Relationship Type="http://schemas.openxmlformats.org/officeDocument/2006/relationships/hyperlink" Target="https://www.fpjq.org/fr/repertoire-des-membres/detail/id/impt5UoPXO4v5NMTELJY9G9M" TargetMode="External" Id="rId216" /><Relationship Type="http://schemas.openxmlformats.org/officeDocument/2006/relationships/hyperlink" Target="https://www.fpjq.org/fr/repertoire-des-membres/detail/id/natnVIgetEPXNnBvecdrQDzK" TargetMode="External" Id="rId21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6" customWidth="1" style="25" min="1" max="1"/>
    <col width="108" customWidth="1" style="25" min="2" max="2"/>
  </cols>
  <sheetData>
    <row r="1" ht="19.7" customHeight="1" s="26">
      <c r="A1" s="27" t="inlineStr">
        <is>
          <t>Listes médias Lasclay — prévente d'automne 2026 et Dragons' Den</t>
        </is>
      </c>
    </row>
    <row r="2" ht="15" customHeight="1" s="26">
      <c r="A2" s="28" t="inlineStr">
        <is>
          <t>Préparé le 31 août 2026. Diffusion TV : jeudi 17 septembre 2026, 20 h (CBC / CBC Gem). Prévente : samedi 12 septembre, 9 h HE.</t>
        </is>
      </c>
    </row>
    <row r="5" ht="15" customHeight="1" s="26">
      <c r="A5" s="29" t="inlineStr">
        <is>
          <t>LES DEUX ONGLETS</t>
        </is>
      </c>
    </row>
    <row r="6" ht="23.85" customHeight="1" s="26">
      <c r="A6" s="30" t="inlineStr">
        <is>
          <t>Liste chaude (28)</t>
        </is>
      </c>
      <c r="B6" s="31" t="inlineStr">
        <is>
          <t>Journalistes qui ont déjà écrit à Lasclay, extraits de 352 fils de la boîte LAS Media dans Missive. Ils te connaissent. C'est la vague 1, et chaque message doit être écrit à la main.</t>
        </is>
      </c>
    </row>
    <row r="7" ht="15" customHeight="1" s="26">
      <c r="A7" s="30" t="inlineStr">
        <is>
          <t>Liste froide FPJQ (217)</t>
        </is>
      </c>
      <c r="B7" s="31" t="inlineStr">
        <is>
          <t>Répertoire des membres de la FPJQ, filtré sur les secteurs pertinents. Aucun lien préalable avec Lasclay. Sollicitation de presse individuelle seulement.</t>
        </is>
      </c>
    </row>
    <row r="9" ht="15" customHeight="1" s="26">
      <c r="A9" s="29" t="inlineStr">
        <is>
          <t>COMMENT ENVOYER</t>
        </is>
      </c>
    </row>
    <row r="10" ht="15" customHeight="1" s="26">
      <c r="A10" s="30" t="inlineStr">
        <is>
          <t>Canal</t>
        </is>
      </c>
      <c r="B10" s="31" t="inlineStr">
        <is>
          <t>Missive, depuis media@lasclay.com. Un message à la fois, pas un publipostage.</t>
        </is>
      </c>
    </row>
    <row r="11" ht="23.85" customHeight="1" s="26">
      <c r="A11" s="30" t="inlineStr">
        <is>
          <t>Pas Klaviyo</t>
        </is>
      </c>
      <c r="B11" s="32" t="inlineStr">
        <is>
          <t>Ne jamais importer ces contacts dans Klaviyo. Un envoi de masse vers des adresses froides ferait grimper les rebonds et les plaintes, ce qui dégraderait mail.lasclay.com — le domaine qui doit livrer l'infolettre de prévente à tes vrais clients.</t>
        </is>
      </c>
    </row>
    <row r="12" ht="15" customHeight="1" s="26">
      <c r="A12" s="30" t="inlineStr">
        <is>
          <t>Réglages Missive</t>
        </is>
      </c>
      <c r="B12" s="31" t="inlineStr">
        <is>
          <t>Désactive le suivi des ouvertures et des clics pour ces envois. Le pixel n'apporte rien ici et certains journalistes le voient d'un mauvais œil.</t>
        </is>
      </c>
    </row>
    <row r="13" ht="23.85" customHeight="1" s="26">
      <c r="A13" s="30" t="inlineStr">
        <is>
          <t>Rythme</t>
        </is>
      </c>
      <c r="B13" s="31" t="inlineStr">
        <is>
          <t>Environ 60 messages par jour, avec une première ligne réellement différente pour chacun. 217 messages quasi identiques en dix minutes se comportent comme du publipostage aux yeux des filtres.</t>
        </is>
      </c>
    </row>
    <row r="15" ht="15" customHeight="1" s="26">
      <c r="A15" s="29" t="inlineStr">
        <is>
          <t>CADRE LÉGAL (LCAP)</t>
        </is>
      </c>
    </row>
    <row r="16" ht="15" customHeight="1" s="26">
      <c r="A16" s="30" t="inlineStr">
        <is>
          <t>Ce qui est permis</t>
        </is>
      </c>
      <c r="B16" s="31" t="inlineStr">
        <is>
          <t>La sollicitation de presse ciblée vers une adresse professionnelle publiée sans restriction d'usage est couverte. Le répertoire FPJQ est exactement ce cas.</t>
        </is>
      </c>
    </row>
    <row r="17" ht="23.85" customHeight="1" s="26">
      <c r="A17" s="30" t="inlineStr">
        <is>
          <t>Ce qui est plus fragile</t>
        </is>
      </c>
      <c r="B17" s="31" t="inlineStr">
        <is>
          <t>Les adresses personnelles de pigistes (gmail, hotmail, videotron, outlook). Elles sont marquées « Pigiste » dans la colonne Média. Réserve-les à un message vraiment individualisé.</t>
        </is>
      </c>
    </row>
    <row r="18" ht="15" customHeight="1" s="26">
      <c r="A18" s="30" t="inlineStr">
        <is>
          <t>Interdit</t>
        </is>
      </c>
      <c r="B18" s="31" t="inlineStr">
        <is>
          <t>Ajouter ces contacts à une liste de diffusion, leur envoyer une infolettre, ou leur écrire sans objet journalistique réel.</t>
        </is>
      </c>
    </row>
    <row r="20" ht="15" customHeight="1" s="26">
      <c r="A20" s="29" t="inlineStr">
        <is>
          <t>GARDE-FOUS DRAGONS' DEN</t>
        </is>
      </c>
    </row>
    <row r="21" ht="15" customHeight="1" s="26">
      <c r="A21" s="30" t="inlineStr">
        <is>
          <t>Marques</t>
        </is>
      </c>
      <c r="B21" s="31" t="inlineStr">
        <is>
          <t>Pas de logo CBC ni Dragons' Den, et pas la formule « vu à Dragons' Den », sans licence payée.</t>
        </is>
      </c>
    </row>
    <row r="22" ht="15" customHeight="1" s="26">
      <c r="A22" s="30" t="inlineStr">
        <is>
          <t>Résultat du pitch</t>
        </is>
      </c>
      <c r="B22" s="31" t="inlineStr">
        <is>
          <t>Ne jamais le révéler avant la diffusion du 17 septembre.</t>
        </is>
      </c>
    </row>
    <row r="23" ht="15" customHeight="1" s="26">
      <c r="A23" s="30" t="inlineStr">
        <is>
          <t>Production ≠ presse</t>
        </is>
      </c>
      <c r="B23" s="31" t="inlineStr">
        <is>
          <t>alicia.chirrey@cbc.ca et kylee.habrowski@cbc.ca sont l'équipe de production, pas la salle de nouvelles. Ils ne sont dans aucune des deux listes, volontairement.</t>
        </is>
      </c>
    </row>
    <row r="25" ht="15" customHeight="1" s="26">
      <c r="A25" s="29" t="inlineStr">
        <is>
          <t>COLONNES À REMPLIR</t>
        </is>
      </c>
      <c r="B25" s="33" t="n"/>
    </row>
    <row r="26" ht="15" customHeight="1" s="26">
      <c r="A26" s="30" t="inlineStr">
        <is>
          <t>Fond jaune</t>
        </is>
      </c>
      <c r="B26" s="31" t="inlineStr">
        <is>
          <t>Les colonnes Envoyé le, Réponse et Notes sont vides et te sont réservées. Tout le reste est de la donnée récoltée : n'y écris pas.</t>
        </is>
      </c>
    </row>
    <row r="27" ht="15" customHeight="1" s="26">
      <c r="A27" s="30" t="inlineStr">
        <is>
          <t>Exemple de saisie</t>
        </is>
      </c>
      <c r="B27" s="31" t="inlineStr">
        <is>
          <t>Envoyé le : 2026-09-02   |   Réponse : Oui – entrevue le 9 sept   |   Notes : veut des photos haute résolution du procédé</t>
        </is>
      </c>
    </row>
    <row r="29" ht="15" customHeight="1" s="26">
      <c r="A29" s="29" t="inlineStr">
        <is>
          <t>LIMITES CONNUES</t>
        </is>
      </c>
    </row>
    <row r="30" ht="23.85" customHeight="1" s="26">
      <c r="A30" s="30" t="inlineStr">
        <is>
          <t>Couverture FPJQ</t>
        </is>
      </c>
      <c r="B30" s="31" t="inlineStr">
        <is>
          <t>861 fiches uniques récoltées sur 1317, soit environ 65 %. La pagination du site réordonne les résultats à chaque appel et deux balayages complets n'ont pas donné le reste. La liste couvre les secteurs pertinents, mais elle n'est pas exhaustive.</t>
        </is>
      </c>
    </row>
    <row r="31" ht="23.85" customHeight="1" s="26">
      <c r="A31" s="30" t="inlineStr">
        <is>
          <t>Validité des adresses</t>
        </is>
      </c>
      <c r="B31" s="31" t="inlineStr">
        <is>
          <t>Aucun test de rebond n'a été fait — ça exigeait d'envoyer de vrais courriels. Les adresses FPJQ viennent du répertoire officiel ; celles de la liste chaude ont servi à une vraie correspondance, à la date indiquée.</t>
        </is>
      </c>
    </row>
    <row r="32" ht="23.85" customHeight="1" s="26">
      <c r="A32" s="30" t="inlineStr">
        <is>
          <t>Écartés</t>
        </is>
      </c>
      <c r="B32" s="31" t="inlineStr">
        <is>
          <t>8 fiches retirées : retraités ou étudiants (Isabelle Ferland, Gilles Munger, François Dallaire, Gilles Gougeon, Cedric Gallant, Michel Larose, Sylvain Poisson, Marie-Josée Boucher).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3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6" customWidth="1" style="25" min="1" max="1"/>
    <col width="22" customWidth="1" style="25" min="2" max="2"/>
    <col width="34" customWidth="1" style="25" min="3" max="3"/>
    <col width="15" customWidth="1" style="25" min="4" max="4"/>
    <col width="44" customWidth="1" style="25" min="5" max="5"/>
    <col width="26" customWidth="1" style="25" min="6" max="6"/>
    <col width="24" customWidth="1" style="25" min="7" max="7"/>
    <col width="13" customWidth="1" style="25" min="8" max="8"/>
    <col width="22" customWidth="1" style="25" min="9" max="9"/>
    <col width="34" customWidth="1" style="25" min="10" max="10"/>
    <col width="70" customWidth="1" style="26" min="14" max="14"/>
  </cols>
  <sheetData>
    <row r="1" ht="27.75" customHeight="1" s="26">
      <c r="A1" s="34" t="inlineStr">
        <is>
          <t>Nom</t>
        </is>
      </c>
      <c r="B1" s="34" t="inlineStr">
        <is>
          <t>Média</t>
        </is>
      </c>
      <c r="C1" s="34" t="inlineStr">
        <is>
          <t>Courriel</t>
        </is>
      </c>
      <c r="D1" s="34" t="inlineStr">
        <is>
          <t>Dernier contact</t>
        </is>
      </c>
      <c r="E1" s="34" t="inlineStr">
        <is>
          <t>Sujet du dernier échange</t>
        </is>
      </c>
      <c r="F1" s="34" t="inlineStr">
        <is>
          <t>Source</t>
        </is>
      </c>
      <c r="G1" s="34" t="inlineStr">
        <is>
          <t>Fiabilité</t>
        </is>
      </c>
      <c r="H1" s="34" t="inlineStr">
        <is>
          <t>Envoyé le</t>
        </is>
      </c>
      <c r="I1" s="34" t="inlineStr">
        <is>
          <t>Réponse</t>
        </is>
      </c>
      <c r="J1" s="34" t="inlineStr">
        <is>
          <t>Notes</t>
        </is>
      </c>
      <c r="K1" s="35" t="inlineStr">
        <is>
          <t>Angle</t>
        </is>
      </c>
      <c r="L1" s="35" t="inlineStr">
        <is>
          <t>Objet suggéré</t>
        </is>
      </c>
      <c r="M1" s="35" t="inlineStr">
        <is>
          <t>Salutation</t>
        </is>
      </c>
      <c r="N1" s="35" t="inlineStr">
        <is>
          <t>Brouillon</t>
        </is>
      </c>
    </row>
    <row r="2" ht="15" customHeight="1" s="26">
      <c r="A2" s="36" t="inlineStr">
        <is>
          <t>Sylvain Larocque</t>
        </is>
      </c>
      <c r="B2" s="36" t="inlineStr">
        <is>
          <t>Québecor Média</t>
        </is>
      </c>
      <c r="C2" s="36" t="inlineStr">
        <is>
          <t>sylvain.larocque@quebecormedia.com</t>
        </is>
      </c>
      <c r="D2" s="36" t="inlineStr">
        <is>
          <t>2026-05-26</t>
        </is>
      </c>
      <c r="E2" s="37" t="inlineStr">
        <is>
          <t>Transfert en Tunisie</t>
        </is>
      </c>
      <c r="F2" s="36" t="inlineStr">
        <is>
          <t>Missive — boîte LAS Media</t>
        </is>
      </c>
      <c r="G2" s="36" t="inlineStr">
        <is>
          <t>Correspondance confirmée</t>
        </is>
      </c>
      <c r="H2" s="38" t="n"/>
      <c r="I2" s="38" t="n"/>
      <c r="J2" s="39" t="n"/>
      <c r="K2" s="25" t="inlineStr">
        <is>
          <t>A</t>
        </is>
      </c>
      <c r="L2" s="25" t="inlineStr">
        <is>
          <t>Suite a votre article de 2026 sur l'asclepiade</t>
        </is>
      </c>
      <c r="M2" s="25" t="inlineStr">
        <is>
          <t>Bonjour Sylvain,</t>
        </is>
      </c>
      <c r="N2" s="46" t="inlineStr">
        <is>
          <t>Bonjour Sylvain,
En mai, vous vous intéressiez au transfert de notre production textile en Tunisie. Il y a
une suite : le 17 septembre, je vais présenter Lasclay dans le premier épisode de la 21e
saison de Dragons' Den, sur CBC et CBC Gem.
Aller défendre une entreprise québécoise à la télévision nationale quelques mois après
avoir sorti l'assemblage du Québec, ça se raconte mal en une ligne. C'est pour ça que je
préfère vous en parler.
Ce que je peux expliquer : pourquoi l'isolant reste transformé à Limoilou, pourquoi la
coquille se fait ailleurs, et ce que le virage a coûté. Ce que je ne peux pas dire avant le
17, c'est comment la rencontre s'est terminée.</t>
        </is>
      </c>
    </row>
    <row r="3" ht="15" customHeight="1" s="26">
      <c r="A3" s="36" t="inlineStr">
        <is>
          <t>Stéphanie Bérubé</t>
        </is>
      </c>
      <c r="B3" s="36" t="inlineStr">
        <is>
          <t>La Presse</t>
        </is>
      </c>
      <c r="C3" s="36" t="inlineStr">
        <is>
          <t>sberube@lapresse.ca</t>
        </is>
      </c>
      <c r="D3" s="36" t="inlineStr">
        <is>
          <t>2026-02-23</t>
        </is>
      </c>
      <c r="E3" s="37" t="inlineStr">
        <is>
          <t>Article</t>
        </is>
      </c>
      <c r="F3" s="36" t="inlineStr">
        <is>
          <t>Missive — boîte LAS Media</t>
        </is>
      </c>
      <c r="G3" s="36" t="inlineStr">
        <is>
          <t>Correspondance confirmée</t>
        </is>
      </c>
      <c r="H3" s="38" t="n"/>
      <c r="I3" s="38" t="n"/>
      <c r="J3" s="39" t="n"/>
      <c r="K3" s="25" t="inlineStr">
        <is>
          <t>A</t>
        </is>
      </c>
      <c r="L3" s="25" t="inlineStr">
        <is>
          <t>Suite a votre article de 2026 sur l'asclepiade</t>
        </is>
      </c>
      <c r="M3" s="25" t="inlineStr">
        <is>
          <t>Bonjour Stéphanie,</t>
        </is>
      </c>
      <c r="N3" s="46" t="inlineStr">
        <is>
          <t>Bonjour Stéphanie,
Vous avez écrit « La sinueuse route de la soie du Nord » en février. La route continue : le
17 septembre, Lasclay est dans le premier épisode de la 21e saison de Dragons' Den, sur CBC
et CBC Gem.
Je ne peux pas dire comment ça s'est passé avant la diffusion. Mais si le sujet vous
intéresse pour un suivi, je suis disponible avant ou après.</t>
        </is>
      </c>
    </row>
    <row r="4" ht="15" customHeight="1" s="26">
      <c r="A4" s="36" t="inlineStr">
        <is>
          <t>Chloé Pouliot</t>
        </is>
      </c>
      <c r="B4" s="36" t="inlineStr">
        <is>
          <t>Le Soleil</t>
        </is>
      </c>
      <c r="C4" s="36" t="inlineStr">
        <is>
          <t>cpouliot@lesoleil.com</t>
        </is>
      </c>
      <c r="D4" s="36" t="inlineStr">
        <is>
          <t>2025-12-01</t>
        </is>
      </c>
      <c r="E4" s="37" t="inlineStr">
        <is>
          <t>Demande média / Le Soleil</t>
        </is>
      </c>
      <c r="F4" s="36" t="inlineStr">
        <is>
          <t>Missive — boîte LAS Media</t>
        </is>
      </c>
      <c r="G4" s="36" t="inlineStr">
        <is>
          <t>Correspondance confirmée</t>
        </is>
      </c>
      <c r="H4" s="38" t="n"/>
      <c r="I4" s="38" t="n"/>
      <c r="J4" s="39" t="n"/>
      <c r="K4" s="25" t="inlineStr">
        <is>
          <t>A</t>
        </is>
      </c>
      <c r="L4" s="25" t="inlineStr">
        <is>
          <t>Suite a votre article de 2025 sur l'asclepiade</t>
        </is>
      </c>
      <c r="M4" s="25" t="inlineStr">
        <is>
          <t>Bonjour Chloé,</t>
        </is>
      </c>
      <c r="N4" s="46" t="inlineStr">
        <is>
          <t>Bonjour Chloé,
Vous aviez titré « Lasclay devant le dilemme de fabriquer au Québec » en décembre dernier.
Neuf mois plus tard, le dilemme est tranché et il tient : l'asclépiade et l'isolant restent
à Limoilou, la coquille se fait en Tunisie, et le manteau se vend autour de 300 $.
Le 17 septembre, je vais défendre tout ça dans le premier épisode de la 21e saison de
Dragons' Den, sur CBC et CBC Gem. Je ne peux pas dire comment ça s'est terminé avant la
diffusion.
Si vous voulez le bilan neuf mois après votre article, y compris ce qui n'a pas marché, je
suis disponible.</t>
        </is>
      </c>
    </row>
    <row r="5" ht="15" customHeight="1" s="26">
      <c r="A5" s="36" t="inlineStr">
        <is>
          <t>Melissa Paquet</t>
        </is>
      </c>
      <c r="B5" s="36" t="inlineStr">
        <is>
          <t>TVA</t>
        </is>
      </c>
      <c r="C5" s="36" t="inlineStr">
        <is>
          <t>melissa.paquet@tva.ca</t>
        </is>
      </c>
      <c r="D5" s="36" t="inlineStr">
        <is>
          <t>2025-09-17</t>
        </is>
      </c>
      <c r="E5" s="37" t="inlineStr">
        <is>
          <t>Entrevue — Pleins feux sur Québec</t>
        </is>
      </c>
      <c r="F5" s="36" t="inlineStr">
        <is>
          <t>Missive — boîte LAS Media</t>
        </is>
      </c>
      <c r="G5" s="36" t="inlineStr">
        <is>
          <t>Correspondance confirmée</t>
        </is>
      </c>
      <c r="H5" s="38" t="n"/>
      <c r="I5" s="38" t="n"/>
      <c r="J5" s="39" t="n"/>
      <c r="K5" s="25" t="inlineStr">
        <is>
          <t>I</t>
        </is>
      </c>
      <c r="L5" s="25" t="inlineStr">
        <is>
          <t>Invite disponible : Lasclay a Dragons' Den le 17 septembre</t>
        </is>
      </c>
      <c r="M5" s="25" t="inlineStr">
        <is>
          <t>Bonjour Melissa,</t>
        </is>
      </c>
      <c r="N5" s="46" t="inlineStr">
        <is>
          <t>Bonjour Melissa,
On s'était parlé pour Pleins feux sur Québec en septembre dernier. Cette année, la date
tombe presque au même endroit : le 17 septembre, Lasclay est dans le premier épisode de la
21e saison de Dragons' Den, sur CBC et CBC Gem.
Une entreprise de Limoilou qui va expliquer à un auditoire pancanadien pourquoi la mauvaise
herbe des champs de maïs peut isoler un manteau. Je suis disponible la semaine du 14 et le
vendredi 18 au matin.</t>
        </is>
      </c>
    </row>
    <row r="6" ht="15" customHeight="1" s="26">
      <c r="A6" s="36" t="inlineStr">
        <is>
          <t>Anne-Sophie Roy</t>
        </is>
      </c>
      <c r="B6" s="36" t="inlineStr">
        <is>
          <t>Radio-Canada</t>
        </is>
      </c>
      <c r="C6" s="36" t="inlineStr">
        <is>
          <t>anne-sophie.roy@radio-canada.ca</t>
        </is>
      </c>
      <c r="D6" s="36" t="inlineStr">
        <is>
          <t>2025-03-13</t>
        </is>
      </c>
      <c r="E6" s="37" t="inlineStr">
        <is>
          <t>Reportage dropshipping et fraude en ligne</t>
        </is>
      </c>
      <c r="F6" s="36" t="inlineStr">
        <is>
          <t>Missive — boîte LAS Media</t>
        </is>
      </c>
      <c r="G6" s="36" t="inlineStr">
        <is>
          <t>Correspondance confirmée</t>
        </is>
      </c>
      <c r="H6" s="38" t="n"/>
      <c r="I6" s="38" t="n"/>
      <c r="J6" s="39" t="n"/>
      <c r="K6" s="25" t="inlineStr">
        <is>
          <t>A</t>
        </is>
      </c>
      <c r="L6" s="25" t="inlineStr">
        <is>
          <t>Suite a votre article de 2025 sur l'asclepiade</t>
        </is>
      </c>
      <c r="M6" s="25" t="inlineStr">
        <is>
          <t>Bonjour Anne-Sophie,</t>
        </is>
      </c>
      <c r="N6" s="46" t="inlineStr">
        <is>
          <t>Bonjour Anne-Sophie,
Vous nous aviez appelés en mars 2025 pour votre reportage sur le dropshipping, comme
contre-exemple d'une entreprise qui fabrique vraiment. Et en décembre 2020, vous aviez signé
un des tout premiers articles sur nos mitaines.
Cinq ans plus tard : le 17 septembre, Lasclay est dans le premier épisode de la 21e saison
de Dragons' Den, sur CBC et CBC Gem.
Ce qui a changé, et qui n'est pas confortable à dire : on ne fabrique plus la majorité de
nos produits finis au Québec. L'asclépiade et l'isolant, oui, toujours à Limoilou.
L'assemblage textile, non. C'est le sujet le plus intéressant que j'aie à offrir.</t>
        </is>
      </c>
    </row>
    <row r="7" ht="15" customHeight="1" s="26">
      <c r="A7" s="36" t="inlineStr">
        <is>
          <t>Annie Lafrance</t>
        </is>
      </c>
      <c r="B7" s="36" t="inlineStr">
        <is>
          <t>Le Soleil</t>
        </is>
      </c>
      <c r="C7" s="36" t="inlineStr">
        <is>
          <t>alafrance@lesoleil.com</t>
        </is>
      </c>
      <c r="D7" s="36" t="inlineStr">
        <is>
          <t>2024-03-06</t>
        </is>
      </c>
      <c r="E7" s="37" t="inlineStr">
        <is>
          <t>Section Affaires</t>
        </is>
      </c>
      <c r="F7" s="36" t="inlineStr">
        <is>
          <t>Missive — boîte LAS Media</t>
        </is>
      </c>
      <c r="G7" s="36" t="inlineStr">
        <is>
          <t>Correspondance confirmée</t>
        </is>
      </c>
      <c r="H7" s="38" t="n"/>
      <c r="I7" s="38" t="n"/>
      <c r="J7" s="39" t="n"/>
      <c r="K7" s="25" t="inlineStr">
        <is>
          <t>A</t>
        </is>
      </c>
      <c r="L7" s="25" t="inlineStr">
        <is>
          <t>Suite a votre article de 2024 sur l'asclepiade</t>
        </is>
      </c>
      <c r="M7" s="25" t="inlineStr">
        <is>
          <t>Bonjour Annie,</t>
        </is>
      </c>
      <c r="N7" s="46" t="inlineStr">
        <is>
          <t>Bonjour Annie,
Vous aviez écrit « L'asclépiade : plus que la fibre de demain » en avril 2024, et vous
m'aviez cité disant qu'on continuait d'y croire. On y croit encore, et le 17 septembre je
vais aller le plaider dans le premier épisode de la 21e saison de Dragons' Den, sur CBC et
CBC Gem.
Ce qui a changé depuis votre article : on a arrêté d'assembler la majorité de nos textiles
au Québec. C'est ce qui a permis de mettre un manteau d'asclépiade à 300 $ sur le marché,
et ça a coûté des emplois en production.
Je ne peux pas dire comment la rencontre s'est terminée avant le 17. Le reste, je peux en
parler quand vous voulez.</t>
        </is>
      </c>
    </row>
    <row r="8" ht="15" customHeight="1" s="26">
      <c r="A8" s="36" t="inlineStr">
        <is>
          <t>Marie Tison</t>
        </is>
      </c>
      <c r="B8" s="36" t="inlineStr">
        <is>
          <t>La Presse</t>
        </is>
      </c>
      <c r="C8" s="36" t="inlineStr">
        <is>
          <t>mtison@lapresse.ca</t>
        </is>
      </c>
      <c r="D8" s="36" t="inlineStr">
        <is>
          <t>2023-11-29</t>
        </is>
      </c>
      <c r="E8" s="37" t="inlineStr">
        <is>
          <t>La Presse</t>
        </is>
      </c>
      <c r="F8" s="36" t="inlineStr">
        <is>
          <t>Missive — boîte LAS Media</t>
        </is>
      </c>
      <c r="G8" s="36" t="inlineStr">
        <is>
          <t>Correspondance confirmée</t>
        </is>
      </c>
      <c r="H8" s="38" t="n"/>
      <c r="I8" s="38" t="n"/>
      <c r="J8" s="39" t="n"/>
      <c r="K8" s="25" t="inlineStr">
        <is>
          <t>A</t>
        </is>
      </c>
      <c r="L8" s="25" t="inlineStr">
        <is>
          <t>Suite a votre article de 2023 sur l'asclepiade</t>
        </is>
      </c>
      <c r="M8" s="25" t="inlineStr">
        <is>
          <t>Bonjour Marie,</t>
        </is>
      </c>
      <c r="N8" s="46" t="inlineStr">
        <is>
          <t>Bonjour Marie,
Vous aviez écrit « Le timide retour de l'asclépiade » en novembre 2021. Le retour est moins
timide : le 17 septembre, Lasclay est dans le premier épisode de la 21e saison de Dragons'
Den, sur CBC et CBC Gem.
Côté plein air, ce qui a changé depuis votre article, c'est qu'il y a maintenant un manteau
et une veste à inserts d'asclépiade amovibles. On met l'isolant pour les grands froids, on
le retire au printemps, on le remplace s'il se dégrade.
Je préfère que vous testiez plutôt que de me croire sur parole. Je peux vous en envoyer un
avant l'hiver.</t>
        </is>
      </c>
    </row>
    <row r="9" ht="15" customHeight="1" s="26">
      <c r="A9" s="36" t="inlineStr">
        <is>
          <t>Sylvie Lacombe</t>
        </is>
      </c>
      <c r="B9" s="36" t="inlineStr">
        <is>
          <t>TVA</t>
        </is>
      </c>
      <c r="C9" s="36" t="inlineStr">
        <is>
          <t>sylvie.lacombe@tva.ca</t>
        </is>
      </c>
      <c r="D9" s="36" t="inlineStr">
        <is>
          <t>2023-11-24</t>
        </is>
      </c>
      <c r="E9" s="37" t="inlineStr">
        <is>
          <t>Suivi de précommande Lasclay</t>
        </is>
      </c>
      <c r="F9" s="36" t="inlineStr">
        <is>
          <t>Missive — boîte LAS Media</t>
        </is>
      </c>
      <c r="G9" s="36" t="inlineStr">
        <is>
          <t>Correspondance confirmée</t>
        </is>
      </c>
      <c r="H9" s="38" t="n"/>
      <c r="I9" s="38" t="n"/>
      <c r="J9" s="39" t="n"/>
      <c r="K9" s="25" t="inlineStr">
        <is>
          <t>I</t>
        </is>
      </c>
      <c r="L9" s="25" t="inlineStr">
        <is>
          <t>Invite disponible : Lasclay a Dragons' Den le 17 septembre</t>
        </is>
      </c>
      <c r="M9" s="25" t="inlineStr">
        <is>
          <t>Bonjour Sylvie,</t>
        </is>
      </c>
      <c r="N9" s="46" t="inlineStr">
        <is>
          <t>Bonjour Sylvie,
En novembre 2023, vous nous aviez contactés pour le suivi d'une précommande qui traînait.
Vous aviez raison de le faire, et c'est resté un des irritants les plus réels de notre
modèle.
Depuis, on sort graduellement de la précommande pour vendre du déjà produit. Ce n'est pas
instantané, parce que l'asclépiade demande beaucoup de planification, mais c'est la
direction.
Je vous écris parce que le 17 septembre, Lasclay est dans le premier épisode de la 21e
saison de Dragons' Den, sur CBC et CBC Gem. Si un jour vous refaites un sujet sur les
délais de précommande au Québec, je suis prêt à parler des nôtres sans les enjoliver.</t>
        </is>
      </c>
    </row>
    <row r="10" ht="15" customHeight="1" s="26">
      <c r="A10" s="36" t="inlineStr">
        <is>
          <t>Hélène Roulot-Ganzmann</t>
        </is>
      </c>
      <c r="B10" s="36" t="inlineStr">
        <is>
          <t>Le Devoir</t>
        </is>
      </c>
      <c r="C10" s="36" t="inlineStr">
        <is>
          <t>hrganzmann@ledevoir.com</t>
        </is>
      </c>
      <c r="D10" s="36" t="inlineStr">
        <is>
          <t>2023-11-23</t>
        </is>
      </c>
      <c r="E10" s="37" t="inlineStr">
        <is>
          <t>Demande de produits</t>
        </is>
      </c>
      <c r="F10" s="36" t="inlineStr">
        <is>
          <t>Missive — boîte LAS Media</t>
        </is>
      </c>
      <c r="G10" s="36" t="inlineStr">
        <is>
          <t>Correspondance confirmée</t>
        </is>
      </c>
      <c r="H10" s="38" t="n"/>
      <c r="I10" s="38" t="n"/>
      <c r="J10" s="39" t="n"/>
      <c r="K10" s="25" t="inlineStr">
        <is>
          <t>A</t>
        </is>
      </c>
      <c r="L10" s="25" t="inlineStr">
        <is>
          <t>Suite a votre article de 2023 sur l'asclepiade</t>
        </is>
      </c>
      <c r="M10" s="25" t="inlineStr">
        <is>
          <t>Bonjour Hélène,</t>
        </is>
      </c>
      <c r="N10" s="46" t="inlineStr">
        <is>
          <t>Bonjour Hélène,
On s'était parlé en novembre 2023 pour du matériel. Voici une nouvelle qui pourrait vous
servir : le 17 septembre, Lasclay est dans le premier épisode de la 21e saison de Dragons'
Den, sur CBC et CBC Gem.
Le contraste se photographie bien : la gousse dans le champ, la soie blanche dans la main,
le manteau porté en ville. C'est la même plante que les agriculteurs arrachent depuis 50 ans.
L'atelier de Limoilou est ouvert si ça vous intéresse de voir la matière.</t>
        </is>
      </c>
    </row>
    <row r="11" ht="15" customHeight="1" s="26">
      <c r="A11" s="36" t="inlineStr">
        <is>
          <t>Marie-Soleil Brault</t>
        </is>
      </c>
      <c r="B11" s="36" t="inlineStr">
        <is>
          <t>Le Soleil</t>
        </is>
      </c>
      <c r="C11" s="36" t="inlineStr">
        <is>
          <t>msbrault@lesoleil.com</t>
        </is>
      </c>
      <c r="D11" s="36" t="inlineStr">
        <is>
          <t>2023-01-30</t>
        </is>
      </c>
      <c r="E11" s="37" t="inlineStr">
        <is>
          <t>Article Le Soleil</t>
        </is>
      </c>
      <c r="F11" s="36" t="inlineStr">
        <is>
          <t>Missive — boîte LAS Media</t>
        </is>
      </c>
      <c r="G11" s="36" t="inlineStr">
        <is>
          <t>Correspondance confirmée</t>
        </is>
      </c>
      <c r="H11" s="38" t="n"/>
      <c r="I11" s="38" t="n"/>
      <c r="J11" s="39" t="n"/>
      <c r="K11" s="25" t="inlineStr">
        <is>
          <t>A</t>
        </is>
      </c>
      <c r="L11" s="25" t="inlineStr">
        <is>
          <t>Suite a votre article de 2023 sur l'asclepiade</t>
        </is>
      </c>
      <c r="M11" s="25" t="inlineStr">
        <is>
          <t>Bonjour Marie-Soleil,</t>
        </is>
      </c>
      <c r="N11" s="46" t="inlineStr">
        <is>
          <t>Bonjour Marie-Soleil,
On s'était parlé en janvier 2023 pour Le Soleil. L'atelier est toujours à Limoilou, et le
17 septembre il passe à la télévision nationale : Lasclay est dans le premier épisode de la
21e saison de Dragons' Den, sur CBC et CBC Gem.
L'angle qui me semble le plus intéressant pour Québec : c'est ici que se fait la
transformation de l'isolant d'asclépiade, et c'est la seule étape qu'on n'a pas délocalisée
quand on a sorti l'assemblage textile du Québec l'an dernier.</t>
        </is>
      </c>
    </row>
    <row r="12" ht="15" customHeight="1" s="26">
      <c r="A12" s="36" t="inlineStr">
        <is>
          <t>Sandra Fillion</t>
        </is>
      </c>
      <c r="B12" s="36" t="inlineStr">
        <is>
          <t>Radio-Canada</t>
        </is>
      </c>
      <c r="C12" s="36" t="inlineStr">
        <is>
          <t>sandra.fillion@radio-canada.ca</t>
        </is>
      </c>
      <c r="D12" s="36" t="inlineStr">
        <is>
          <t>2023-01-05</t>
        </is>
      </c>
      <c r="E12" s="37" t="inlineStr">
        <is>
          <t>Asclépiade</t>
        </is>
      </c>
      <c r="F12" s="36" t="inlineStr">
        <is>
          <t>Missive — boîte LAS Media</t>
        </is>
      </c>
      <c r="G12" s="36" t="inlineStr">
        <is>
          <t>Correspondance confirmée</t>
        </is>
      </c>
      <c r="H12" s="38" t="n"/>
      <c r="I12" s="38" t="n"/>
      <c r="J12" s="39" t="n"/>
      <c r="K12" s="25" t="inlineStr">
        <is>
          <t>A</t>
        </is>
      </c>
      <c r="L12" s="25" t="inlineStr">
        <is>
          <t>Suite a votre article de 2023 sur l'asclepiade</t>
        </is>
      </c>
      <c r="M12" s="25" t="inlineStr">
        <is>
          <t>Bonjour Sandra,</t>
        </is>
      </c>
      <c r="N12" s="46" t="inlineStr">
        <is>
          <t>Bonjour Sandra,
On s'était parlé d'asclépiade en janvier 2023. Depuis, le monarque a vu son statut d'espèce
en voie de disparition confirmé au Canada en 2024, et les États-Unis ont proposé de
l'inscrire comme espèce menacée.
Le 17 septembre, je vais défendre l'idée qu'il faut rendre l'asclépiade payante pour que les
agriculteurs la gardent dans leurs champs. C'est dans le premier épisode de la 21e saison de
Dragons' Den, sur CBC et CBC Gem.
Je tiens à être clair, parce que c'est souvent mal raconté : acheter un produit ne sauve pas
un papillon. Le lien est systémique. C'est la nuance que j'ai le plus envie d'expliquer.</t>
        </is>
      </c>
    </row>
    <row r="13" ht="15" customHeight="1" s="26">
      <c r="A13" s="36" t="inlineStr">
        <is>
          <t>Ariane Aubert Bonn</t>
        </is>
      </c>
      <c r="B13" s="36" t="inlineStr">
        <is>
          <t>La Tribune</t>
        </is>
      </c>
      <c r="C13" s="36" t="inlineStr">
        <is>
          <t>aabonn@latribune.qc.ca</t>
        </is>
      </c>
      <c r="D13" s="36" t="inlineStr">
        <is>
          <t>2022-11-30</t>
        </is>
      </c>
      <c r="E13" s="37" t="inlineStr">
        <is>
          <t>Nouveaux produits d'asclépiade</t>
        </is>
      </c>
      <c r="F13" s="36" t="inlineStr">
        <is>
          <t>Missive — boîte LAS Media</t>
        </is>
      </c>
      <c r="G13" s="36" t="inlineStr">
        <is>
          <t>Correspondance confirmée</t>
        </is>
      </c>
      <c r="H13" s="38" t="n"/>
      <c r="I13" s="38" t="n"/>
      <c r="J13" s="39" t="n"/>
      <c r="K13" s="25" t="inlineStr">
        <is>
          <t>A</t>
        </is>
      </c>
      <c r="L13" s="25" t="inlineStr">
        <is>
          <t>Suite a votre article de 2022 sur l'asclepiade</t>
        </is>
      </c>
      <c r="M13" s="25" t="inlineStr">
        <is>
          <t>Bonjour Ariane,</t>
        </is>
      </c>
      <c r="N13" s="46" t="inlineStr">
        <is>
          <t>Bonjour Ariane,
Vous aviez couvert nos nouveaux produits d'asclépiade en novembre 2022. Trois ans plus tard,
le catalogue est passé à plus de 40 produits, et La Tribune a repris en décembre dernier
l'article sur notre dilemme de fabrication.
Le 17 septembre, Lasclay est dans le premier épisode de la 21e saison de Dragons' Den, sur
CBC et CBC Gem. Je ne peux pas dire comment ça s'est terminé avant la diffusion.
Si l'Estrie vous intéresse dans cette histoire : c'est une des régions où l'asclépiade se
cultive, et les producteurs qui ont survécu à l'effondrement de la filière en 2018 sont
encore là.</t>
        </is>
      </c>
    </row>
    <row r="14" ht="15" customHeight="1" s="26">
      <c r="A14" s="36" t="inlineStr">
        <is>
          <t>Eugénie Émond</t>
        </is>
      </c>
      <c r="B14" s="36" t="inlineStr">
        <is>
          <t>Radio-Canada</t>
        </is>
      </c>
      <c r="C14" s="36" t="inlineStr">
        <is>
          <t>eugenie.emond@radio-canada.ca</t>
        </is>
      </c>
      <c r="D14" s="36" t="inlineStr">
        <is>
          <t>2022-09-01</t>
        </is>
      </c>
      <c r="E14" s="37" t="inlineStr">
        <is>
          <t>Entrevue — glacière d'asclépiade imprimée 3D</t>
        </is>
      </c>
      <c r="F14" s="36" t="inlineStr">
        <is>
          <t>Missive — boîte LAS Media</t>
        </is>
      </c>
      <c r="G14" s="36" t="inlineStr">
        <is>
          <t>Correspondance confirmée</t>
        </is>
      </c>
      <c r="H14" s="38" t="n"/>
      <c r="I14" s="38" t="n"/>
      <c r="J14" s="39" t="n"/>
      <c r="K14" s="25" t="inlineStr">
        <is>
          <t>A</t>
        </is>
      </c>
      <c r="L14" s="25" t="inlineStr">
        <is>
          <t>Suite a votre article de 2022 sur l'asclepiade</t>
        </is>
      </c>
      <c r="M14" s="25" t="inlineStr">
        <is>
          <t>Bonjour Eugénie,</t>
        </is>
      </c>
      <c r="N14" s="46" t="inlineStr">
        <is>
          <t>Bonjour Eugénie,
En septembre 2022, on s'était parlé de notre glacière d'asclépiade imprimée en 3D. Quatre
ans plus tard, l'histoire s'est déplacée : le vrai problème n'était pas d'inventer un objet,
c'était d'industrialiser une matière qui n'a aucune chaîne d'approvisionnement.
On a bâti nos propres procédés parce qu'aucun sous-traitant ne voulait toucher à
l'asclépiade. Puis on a confié l'assemblage textile à l'externe. Les deux décisions se
défendent, et elles se contredisent en apparence.
Le 17 septembre, je vais présenter tout ça dans le premier épisode de la 21e saison de
Dragons' Den, sur CBC et CBC Gem.</t>
        </is>
      </c>
    </row>
    <row r="15" ht="15" customHeight="1" s="26">
      <c r="A15" s="36" t="inlineStr">
        <is>
          <t>Rhéane Portelance</t>
        </is>
      </c>
      <c r="B15" s="36" t="inlineStr">
        <is>
          <t>Le Devoir</t>
        </is>
      </c>
      <c r="C15" s="36" t="inlineStr">
        <is>
          <t>rportelance@ledevoir.com</t>
        </is>
      </c>
      <c r="D15" s="36" t="inlineStr">
        <is>
          <t>2022-07-26</t>
        </is>
      </c>
      <c r="E15" s="37" t="inlineStr">
        <is>
          <t>Cahier spécial Action climatique</t>
        </is>
      </c>
      <c r="F15" s="36" t="inlineStr">
        <is>
          <t>Missive — boîte LAS Media</t>
        </is>
      </c>
      <c r="G15" s="36" t="inlineStr">
        <is>
          <t>Correspondance confirmée</t>
        </is>
      </c>
      <c r="H15" s="38" t="n"/>
      <c r="I15" s="38" t="n"/>
      <c r="J15" s="39" t="n"/>
      <c r="K15" s="25" t="inlineStr">
        <is>
          <t>A</t>
        </is>
      </c>
      <c r="L15" s="25" t="inlineStr">
        <is>
          <t>Suite a votre article de 2022 sur l'asclepiade</t>
        </is>
      </c>
      <c r="M15" s="25" t="inlineStr">
        <is>
          <t>Bonjour Rhéane,</t>
        </is>
      </c>
      <c r="N15" s="46" t="inlineStr">
        <is>
          <t>Bonjour Rhéane,
On avait échangé pour le cahier Action climatique en juillet 2022. Voici où en est
l'asclépiade quatre ans plus tard.
C'est une vivace indigène qui se cultive avec peu d'intrants, qui stocke du carbone dans un
système racinaire pérenne, et qui est la seule plante hôte des chenilles du monarque. Le
pari de Lasclay est économique avant d'être écologique : si elle paie, les agriculteurs la
gardent.
Le 17 septembre, je vais le plaider dans le premier épisode de la 21e saison de Dragons'
Den, sur CBC et CBC Gem. Je précise toujours la même chose : un achat ne sauve pas un
papillon, et je me méfie de ceux qui prétendent le contraire.</t>
        </is>
      </c>
    </row>
    <row r="16" ht="15" customHeight="1" s="26">
      <c r="A16" s="36" t="inlineStr">
        <is>
          <t>Anaïs Elboujdaini</t>
        </is>
      </c>
      <c r="B16" s="36" t="inlineStr">
        <is>
          <t>Bell Média</t>
        </is>
      </c>
      <c r="C16" s="36" t="inlineStr">
        <is>
          <t>anais.elboujdaini@bellmedia.ca</t>
        </is>
      </c>
      <c r="D16" s="36" t="inlineStr">
        <is>
          <t>2022-05-10</t>
        </is>
      </c>
      <c r="E16" s="37" t="inlineStr">
        <is>
          <t>Entrevue — programme de semences d'asclépiade</t>
        </is>
      </c>
      <c r="F16" s="36" t="inlineStr">
        <is>
          <t>Missive — boîte LAS Media</t>
        </is>
      </c>
      <c r="G16" s="36" t="inlineStr">
        <is>
          <t>Correspondance confirmée</t>
        </is>
      </c>
      <c r="H16" s="38" t="n"/>
      <c r="I16" s="38" t="n"/>
      <c r="J16" s="39" t="n"/>
      <c r="K16" s="25" t="inlineStr">
        <is>
          <t>I</t>
        </is>
      </c>
      <c r="L16" s="25" t="inlineStr">
        <is>
          <t>Invite disponible : Lasclay a Dragons' Den le 17 septembre</t>
        </is>
      </c>
      <c r="M16" s="25" t="inlineStr">
        <is>
          <t>Bonjour Anaïs,</t>
        </is>
      </c>
      <c r="N16" s="46" t="inlineStr">
        <is>
          <t>Bonjour Anaïs,
On s'était parlé du programme de semences en mai 2022. Depuis, la Campagne nationale de
plantation en est à sa 5e édition et on a distribué environ 10 millions de graines
d'asclépiade en Amérique du Nord.
Le 17 septembre, Lasclay est dans le premier épisode de la 21e saison de Dragons' Den, sur
CBC et CBC Gem. Je suis disponible pour une entrevue la semaine du 14 et le vendredi 18 au
matin.</t>
        </is>
      </c>
    </row>
    <row r="17" ht="15" customHeight="1" s="26">
      <c r="A17" s="36" t="inlineStr">
        <is>
          <t>Julia Haurio</t>
        </is>
      </c>
      <c r="B17" s="36" t="inlineStr">
        <is>
          <t>Unpointcinq</t>
        </is>
      </c>
      <c r="C17" s="36" t="inlineStr">
        <is>
          <t>jhaurio@unpointcinq.ca</t>
        </is>
      </c>
      <c r="D17" s="36" t="inlineStr">
        <is>
          <t>2022-01-21</t>
        </is>
      </c>
      <c r="E17" s="37" t="inlineStr">
        <is>
          <t>Impact climatique asclépiade</t>
        </is>
      </c>
      <c r="F17" s="36" t="inlineStr">
        <is>
          <t>Missive — boîte LAS Media</t>
        </is>
      </c>
      <c r="G17" s="36" t="inlineStr">
        <is>
          <t>Correspondance confirmée</t>
        </is>
      </c>
      <c r="H17" s="38" t="n"/>
      <c r="I17" s="38" t="n"/>
      <c r="J17" s="39" t="n"/>
      <c r="K17" s="25" t="inlineStr">
        <is>
          <t>A</t>
        </is>
      </c>
      <c r="L17" s="25" t="inlineStr">
        <is>
          <t>Suite a votre article de 2022 sur l'asclepiade</t>
        </is>
      </c>
      <c r="M17" s="25" t="inlineStr">
        <is>
          <t>Bonjour Julia,</t>
        </is>
      </c>
      <c r="N17" s="46" t="inlineStr">
        <is>
          <t>Bonjour Julia,
On avait creusé l'impact climatique de l'asclépiade ensemble en janvier 2022. J'ai depuis
une réponse plus honnête à vous donner, et elle est moins flatteuse qu'avant.
Les émissions liées à la récolte restent faibles comparées aux autres isolants, et à poids
égal la fibre isole un peu plus que le duvet, donc en théorie il en faut moins. Mais on a
sorti l'assemblage textile du Québec l'an dernier, ce qui ajoute du transport. Le bilan
complet, personne ne l'a fait, moi non plus.
Le 17 septembre, Lasclay est dans le premier épisode de la 21e saison de Dragons' Den, sur
CBC et CBC Gem. Si vous voulez creuser cette contradiction-là, elle est réelle et je n'ai
pas envie de la cacher.</t>
        </is>
      </c>
    </row>
    <row r="18" ht="15" customHeight="1" s="26">
      <c r="A18" s="36" t="inlineStr">
        <is>
          <t>Protégez-Vous (contact général)</t>
        </is>
      </c>
      <c r="B18" s="36" t="inlineStr">
        <is>
          <t>Protégez-Vous</t>
        </is>
      </c>
      <c r="C18" s="36" t="inlineStr">
        <is>
          <t>contact@protegez-vous.ca</t>
        </is>
      </c>
      <c r="D18" s="36" t="inlineStr">
        <is>
          <t>2021-11-19</t>
        </is>
      </c>
      <c r="E18" s="37" t="inlineStr">
        <is>
          <t>Étude de marché sur les glacières</t>
        </is>
      </c>
      <c r="F18" s="36" t="inlineStr">
        <is>
          <t>Missive — boîte LAS Media</t>
        </is>
      </c>
      <c r="G18" s="36" t="inlineStr">
        <is>
          <t>Correspondance confirmée</t>
        </is>
      </c>
      <c r="H18" s="38" t="n"/>
      <c r="I18" s="38" t="n"/>
      <c r="J18" s="39" t="n"/>
      <c r="K18" s="25" t="inlineStr">
        <is>
          <t>A</t>
        </is>
      </c>
      <c r="L18" s="25" t="inlineStr">
        <is>
          <t>Suite a votre article de 2021 sur l'asclepiade</t>
        </is>
      </c>
      <c r="M18" s="25" t="inlineStr">
        <is>
          <t>Bonjour Protégez-Vous,</t>
        </is>
      </c>
      <c r="N18" s="46" t="inlineStr">
        <is>
          <t>Bonjour,
En novembre 2021, votre équipe nous avait contactés pour une étude de marché sur les
glacières. Nos sacs isothermes et nos glacières souples sont isolés à la soie d'asclépiade,
une fibre creuse et hydrophobe attachée aux graines de la plante.
Le 17 septembre, Lasclay est dans le premier épisode de la 21e saison de Dragons' Den, sur
CBC et CBC Gem.
Si un banc d'essai sur les glacières souples est prévu, je fournis les produits sans
condition et sans droit de regard sur les résultats. C'est le seul type de preuve qui vaut
quelque chose pour une matière que personne ne connaît.</t>
        </is>
      </c>
    </row>
    <row r="19" ht="15" customHeight="1" s="26">
      <c r="A19" s="36" t="inlineStr">
        <is>
          <t>Marc Tison</t>
        </is>
      </c>
      <c r="B19" s="36" t="inlineStr">
        <is>
          <t>La Presse</t>
        </is>
      </c>
      <c r="C19" s="36" t="inlineStr">
        <is>
          <t>mtison1@lapresse.ca</t>
        </is>
      </c>
      <c r="D19" s="36" t="inlineStr">
        <is>
          <t>2021-09-20</t>
        </is>
      </c>
      <c r="E19" s="37" t="inlineStr">
        <is>
          <t>Entrevue — section Affaires</t>
        </is>
      </c>
      <c r="F19" s="36" t="inlineStr">
        <is>
          <t>Missive — boîte LAS Media</t>
        </is>
      </c>
      <c r="G19" s="36" t="inlineStr">
        <is>
          <t>Correspondance confirmée</t>
        </is>
      </c>
      <c r="H19" s="38" t="n"/>
      <c r="I19" s="38" t="n"/>
      <c r="J19" s="39" t="n"/>
      <c r="K19" s="25" t="inlineStr">
        <is>
          <t>A</t>
        </is>
      </c>
      <c r="L19" s="25" t="inlineStr">
        <is>
          <t>Suite a votre article de 2021 sur l'asclepiade</t>
        </is>
      </c>
      <c r="M19" s="25" t="inlineStr">
        <is>
          <t>Bonjour Marc,</t>
        </is>
      </c>
      <c r="N19" s="46" t="inlineStr">
        <is>
          <t>Bonjour Marc,
On s'était parlé pour la section Affaires en septembre 2021. À l'époque, on venait de
rapatrier notre production : une matelasseuse usagée achetée en Ontario, des procédés
inventés parce qu'aucun sous-traitant ne voulait toucher à la fibre.
En 2025, on a fait l'inverse et confié l'assemblage textile à l'externe. C'est ce qui a
permis un manteau autour de 300 $, après des tentatives de l'industrie à plus de 500 $ et
1000 $ qui ont toutes été discontinuées.
Le 17 septembre, je présente cette histoire dans le premier épisode de la 21e saison de
Dragons' Den, sur CBC et CBC Gem. Je ne peux pas dire comment ça s'est terminé avant la
diffusion.</t>
        </is>
      </c>
    </row>
    <row r="20" ht="15" customHeight="1" s="26">
      <c r="A20" s="36" t="inlineStr">
        <is>
          <t>Valérie Simard</t>
        </is>
      </c>
      <c r="B20" s="36" t="inlineStr">
        <is>
          <t>La Presse</t>
        </is>
      </c>
      <c r="C20" s="36" t="inlineStr">
        <is>
          <t>vsimard@lapresse.ca</t>
        </is>
      </c>
      <c r="D20" s="36" t="inlineStr">
        <is>
          <t>2021-09-17</t>
        </is>
      </c>
      <c r="E20" s="37" t="inlineStr">
        <is>
          <t>Demande média</t>
        </is>
      </c>
      <c r="F20" s="36" t="inlineStr">
        <is>
          <t>Missive — boîte LAS Media</t>
        </is>
      </c>
      <c r="G20" s="36" t="inlineStr">
        <is>
          <t>Correspondance confirmée</t>
        </is>
      </c>
      <c r="H20" s="38" t="n"/>
      <c r="I20" s="38" t="n"/>
      <c r="J20" s="39" t="n"/>
      <c r="K20" s="25" t="inlineStr">
        <is>
          <t>A</t>
        </is>
      </c>
      <c r="L20" s="25" t="inlineStr">
        <is>
          <t>Suite a votre article de 2021 sur l'asclepiade</t>
        </is>
      </c>
      <c r="M20" s="25" t="inlineStr">
        <is>
          <t>Bonjour Valérie,</t>
        </is>
      </c>
      <c r="N20" s="46" t="inlineStr">
        <is>
          <t>Bonjour Valérie,
Vous aviez présenté nos moufles isolées à l'asclépiade le 17 septembre 2021. La diffusion
tombe cinq ans jour pour jour : le 17 septembre 2026, Lasclay est dans le premier épisode de
la 21e saison de Dragons' Den, sur CBC et CBC Gem.
Entre les deux dates : le catalogue est passé de quelques accessoires à plus de 40 produits,
et on a arrêté d'assembler la majorité de nos textiles au Québec. La deuxième partie est
moins agréable à dire que la première.
Je ne peux rien révéler de l'issue avant la diffusion. Le reste, je peux en parler avant ou
après.</t>
        </is>
      </c>
    </row>
    <row r="21" ht="15" customHeight="1" s="26">
      <c r="A21" s="36" t="inlineStr">
        <is>
          <t>Justine Friis</t>
        </is>
      </c>
      <c r="B21" s="36" t="inlineStr">
        <is>
          <t>Unpointcinq</t>
        </is>
      </c>
      <c r="C21" s="36" t="inlineStr">
        <is>
          <t>jfriis@unpointcinq.ca</t>
        </is>
      </c>
      <c r="D21" s="36" t="inlineStr">
        <is>
          <t>2021-09-08</t>
        </is>
      </c>
      <c r="E21" s="37" t="inlineStr">
        <is>
          <t>Impact climatique asclépiade</t>
        </is>
      </c>
      <c r="F21" s="36" t="inlineStr">
        <is>
          <t>Missive — boîte LAS Media</t>
        </is>
      </c>
      <c r="G21" s="36" t="inlineStr">
        <is>
          <t>Correspondance confirmée</t>
        </is>
      </c>
      <c r="H21" s="38" t="n"/>
      <c r="I21" s="38" t="n"/>
      <c r="J21" s="39" t="n"/>
      <c r="K21" s="25" t="inlineStr">
        <is>
          <t>A</t>
        </is>
      </c>
      <c r="L21" s="25" t="inlineStr">
        <is>
          <t>Suite a votre article de 2021 sur l'asclepiade</t>
        </is>
      </c>
      <c r="M21" s="25" t="inlineStr">
        <is>
          <t>Bonjour Justine,</t>
        </is>
      </c>
      <c r="N21" s="46" t="inlineStr">
        <is>
          <t>Bonjour Justine,
Vous aviez travaillé sur l'impact climatique de l'asclépiade en septembre 2021. Cinq ans
plus tard, le statut du monarque comme espèce en voie de disparition a été confirmé au
Canada, et les États-Unis ont proposé de l'inscrire comme menacée.
Le 17 septembre, je vais défendre la même idée qu'à l'époque, dans le premier épisode de la
21e saison de Dragons' Den, sur CBC et CBC Gem : la conservation passe par un débouché
économique, pas par la charité.
Ce que je dis toujours, et qui déplaît parfois : acheter un produit ne sauve pas un papillon
en particulier.</t>
        </is>
      </c>
    </row>
    <row r="22" ht="15" customHeight="1" s="26">
      <c r="A22" s="36" t="inlineStr">
        <is>
          <t>Alex Perreault</t>
        </is>
      </c>
      <c r="B22" s="36" t="inlineStr">
        <is>
          <t>Radio-Canada</t>
        </is>
      </c>
      <c r="C22" s="36" t="inlineStr">
        <is>
          <t>alex.perreault@radio-canada.ca</t>
        </is>
      </c>
      <c r="D22" s="36" t="inlineStr">
        <is>
          <t>2021-07-22</t>
        </is>
      </c>
      <c r="E22" s="37" t="inlineStr">
        <is>
          <t>Entrevue Radio-Canada</t>
        </is>
      </c>
      <c r="F22" s="36" t="inlineStr">
        <is>
          <t>Missive — boîte LAS Media</t>
        </is>
      </c>
      <c r="G22" s="36" t="inlineStr">
        <is>
          <t>Correspondance confirmée</t>
        </is>
      </c>
      <c r="H22" s="38" t="n"/>
      <c r="I22" s="38" t="n"/>
      <c r="J22" s="39" t="n"/>
      <c r="K22" s="25" t="inlineStr">
        <is>
          <t>A</t>
        </is>
      </c>
      <c r="L22" s="25" t="inlineStr">
        <is>
          <t>Suite a votre article de 2021 sur l'asclepiade</t>
        </is>
      </c>
      <c r="M22" s="25" t="inlineStr">
        <is>
          <t>Bonjour Alex,</t>
        </is>
      </c>
      <c r="N22" s="46" t="inlineStr">
        <is>
          <t>Bonjour Alex,
On s'était parlé en juillet 2021. Le 17 septembre, Lasclay est dans le premier épisode de la
21e saison de Dragons' Den, sur CBC et CBC Gem.
Le sujet en une phrase : une entreprise de Limoilou va expliquer à un auditoire pancanadien
pourquoi la mauvaise herbe des champs de maïs peut isoler un manteau.
Disponible pour une entrevue la semaine du 14 et le vendredi 18 au matin.</t>
        </is>
      </c>
    </row>
    <row r="23" ht="15" customHeight="1" s="26">
      <c r="A23" s="36" t="inlineStr">
        <is>
          <t>Francis Higgins</t>
        </is>
      </c>
      <c r="B23" s="36" t="inlineStr">
        <is>
          <t>Le Soleil</t>
        </is>
      </c>
      <c r="C23" s="36" t="inlineStr">
        <is>
          <t>fhiggins@lesoleil.com</t>
        </is>
      </c>
      <c r="D23" s="36" t="inlineStr">
        <is>
          <t>2021-07-07</t>
        </is>
      </c>
      <c r="E23" s="37" t="inlineStr">
        <is>
          <t>Demande de presse — Le Soleil de Québec</t>
        </is>
      </c>
      <c r="F23" s="36" t="inlineStr">
        <is>
          <t>Missive — boîte LAS Media</t>
        </is>
      </c>
      <c r="G23" s="36" t="inlineStr">
        <is>
          <t>Correspondance confirmée</t>
        </is>
      </c>
      <c r="H23" s="38" t="n"/>
      <c r="I23" s="38" t="n"/>
      <c r="J23" s="39" t="n"/>
      <c r="K23" s="25" t="inlineStr">
        <is>
          <t>A</t>
        </is>
      </c>
      <c r="L23" s="25" t="inlineStr">
        <is>
          <t>Suite a votre article de 2021 sur l'asclepiade</t>
        </is>
      </c>
      <c r="M23" s="25" t="inlineStr">
        <is>
          <t>Bonjour Francis,</t>
        </is>
      </c>
      <c r="N23" s="46" t="inlineStr">
        <is>
          <t>Bonjour Francis,
On s'était parlé pour Le Soleil en juillet 2021. L'atelier est toujours à Limoilou, et le 17
septembre il passe à la télévision nationale : Lasclay est dans le premier épisode de la 21e
saison de Dragons' Den, sur CBC et CBC Gem.
Pour Québec, l'angle qui tient : la transformation de l'isolant d'asclépiade est la seule
étape qu'on a refusé de délocaliser quand on a sorti l'assemblage textile du Québec.</t>
        </is>
      </c>
    </row>
    <row r="24" ht="15" customHeight="1" s="26">
      <c r="A24" s="36" t="inlineStr">
        <is>
          <t>Fanny Samson</t>
        </is>
      </c>
      <c r="B24" s="36" t="inlineStr">
        <is>
          <t>Radio-Canada</t>
        </is>
      </c>
      <c r="C24" s="36" t="inlineStr">
        <is>
          <t>fanny.samson@radio-canada.ca</t>
        </is>
      </c>
      <c r="D24" s="36" t="inlineStr">
        <is>
          <t>2021-03-13</t>
        </is>
      </c>
      <c r="E24" s="37" t="inlineStr">
        <is>
          <t>Reportage</t>
        </is>
      </c>
      <c r="F24" s="36" t="inlineStr">
        <is>
          <t>Missive — boîte LAS Media</t>
        </is>
      </c>
      <c r="G24" s="36" t="inlineStr">
        <is>
          <t>Correspondance confirmée</t>
        </is>
      </c>
      <c r="H24" s="38" t="n"/>
      <c r="I24" s="38" t="n"/>
      <c r="J24" s="39" t="n"/>
      <c r="K24" s="25" t="inlineStr">
        <is>
          <t>A</t>
        </is>
      </c>
      <c r="L24" s="25" t="inlineStr">
        <is>
          <t>Suite a votre article de 2021 sur l'asclepiade</t>
        </is>
      </c>
      <c r="M24" s="25" t="inlineStr">
        <is>
          <t>Bonjour Fanny,</t>
        </is>
      </c>
      <c r="N24" s="46" t="inlineStr">
        <is>
          <t>Bonjour Fanny,
Vous aviez titré « Les grandes promesses de l'asclépiade » en mars 2021. Cinq ans plus tard,
je peux faire le bilan des promesses, y compris celles qui n'ont pas été tenues.
Tenues : il y a des produits finis, l'isolant se transforme au Québec, on achète encore de
l'asclépiade québécoise, et un manteau se vend autour de 300 $. Pas tenues : la
mécanisation de la récolte n'est pas réglée, et l'assemblage textile est sorti du Québec.
Le 17 septembre, Lasclay est dans le premier épisode de la 21e saison de Dragons' Den, sur
CBC et CBC Gem. Je ne peux pas dire comment ça s'est terminé avant la diffusion.</t>
        </is>
      </c>
    </row>
    <row r="25" ht="15" customHeight="1" s="26">
      <c r="A25" s="36" t="inlineStr">
        <is>
          <t>Martin Ménard</t>
        </is>
      </c>
      <c r="B25" s="36" t="inlineStr">
        <is>
          <t>La Terre de chez nous</t>
        </is>
      </c>
      <c r="C25" s="36" t="inlineStr">
        <is>
          <t>mmenard@laterre.ca</t>
        </is>
      </c>
      <c r="D25" s="36" t="inlineStr">
        <is>
          <t>2021-01-26</t>
        </is>
      </c>
      <c r="E25" s="37" t="inlineStr">
        <is>
          <t>Entrevue La Terre</t>
        </is>
      </c>
      <c r="F25" s="36" t="inlineStr">
        <is>
          <t>Missive — boîte LAS Media</t>
        </is>
      </c>
      <c r="G25" s="36" t="inlineStr">
        <is>
          <t>Correspondance confirmée</t>
        </is>
      </c>
      <c r="H25" s="38" t="n"/>
      <c r="I25" s="38" t="n"/>
      <c r="J25" s="39" t="n"/>
      <c r="K25" s="25" t="inlineStr">
        <is>
          <t>A</t>
        </is>
      </c>
      <c r="L25" s="25" t="inlineStr">
        <is>
          <t>Suite a votre article de 2021 sur l'asclepiade</t>
        </is>
      </c>
      <c r="M25" s="25" t="inlineStr">
        <is>
          <t>Bonjour Martin,</t>
        </is>
      </c>
      <c r="N25" s="46" t="inlineStr">
        <is>
          <t>Bonjour Martin,
On s'était parlé à La Terre en janvier 2021. Je vous écris parce qu'il y a du nouveau, mais
la télévision n'est pas le sujet le plus intéressant pour vos lecteurs.
Le sujet, c'est celui-ci : huit ans après l'effondrement de la filière, est-ce qu'il y a
enfin un acheteur stable au bout du champ. On achète encore de l'asclépiade québécoise et on
la transforme nous-mêmes à Québec. Ce que je ne peux toujours pas promettre à un producteur,
c'est un volume garanti sur plusieurs années, et la mécanisation de la récolte n'est pas
réglée.
Le contexte : le 17 septembre, je vais défendre l'asclépiade dans le premier épisode de la
21e saison de Dragons' Den, sur CBC. Ça donne de la visibilité à la plante, ce qui n'est pas
rien pour ceux qui la cultivent encore.
Je peux parler des volumes, de la fenêtre de récolte et de ce qui bloque, sans enjoliver.</t>
        </is>
      </c>
    </row>
    <row r="26" ht="15" customHeight="1" s="26">
      <c r="A26" s="36" t="inlineStr">
        <is>
          <t>Anne-Sophie Roy</t>
        </is>
      </c>
      <c r="B26" s="36" t="inlineStr">
        <is>
          <t>Québecor Média</t>
        </is>
      </c>
      <c r="C26" s="36" t="inlineStr">
        <is>
          <t>anne-sophie.roy@quebecormedia.com</t>
        </is>
      </c>
      <c r="D26" s="36" t="inlineStr">
        <is>
          <t>2020-12-13</t>
        </is>
      </c>
      <c r="E26" s="37" t="inlineStr">
        <is>
          <t>Série d'articles</t>
        </is>
      </c>
      <c r="F26" s="36" t="inlineStr">
        <is>
          <t>Missive — boîte LAS Media</t>
        </is>
      </c>
      <c r="G26" s="36" t="inlineStr">
        <is>
          <t>Correspondance confirmée</t>
        </is>
      </c>
      <c r="H26" s="38" t="n"/>
      <c r="I26" s="38" t="n"/>
      <c r="J26" s="39" t="n"/>
      <c r="K26" s="25" t="inlineStr">
        <is>
          <t>A</t>
        </is>
      </c>
      <c r="L26" s="25" t="inlineStr">
        <is>
          <t>Suite a votre article de 2020 sur l'asclepiade</t>
        </is>
      </c>
      <c r="M26" s="25" t="inlineStr">
        <is>
          <t>Bonjour Anne-Sophie,</t>
        </is>
      </c>
      <c r="N26" s="46" t="inlineStr">
        <is>
          <t>NE PAS ENVOYER — même journaliste que la ligne Radio-Canada, à une ancienne adresse. Écrire à anne-sophie.roy@radio-canada.ca. Garder cette adresse en réserve si l'autre rebondit.</t>
        </is>
      </c>
    </row>
    <row r="27" ht="15" customHeight="1" s="26">
      <c r="A27" s="36" t="inlineStr">
        <is>
          <t>Raphaëlle Drouin</t>
        </is>
      </c>
      <c r="B27" s="36" t="inlineStr">
        <is>
          <t>URBANIA</t>
        </is>
      </c>
      <c r="C27" s="36" t="inlineStr">
        <is>
          <t>raphaelle.drouin@urbania.ca</t>
        </is>
      </c>
      <c r="D27" s="36" t="inlineStr">
        <is>
          <t>2020-11-24</t>
        </is>
      </c>
      <c r="E27" s="37" t="inlineStr">
        <is>
          <t>Entrevue URBANIA</t>
        </is>
      </c>
      <c r="F27" s="36" t="inlineStr">
        <is>
          <t>Missive — boîte LAS Media</t>
        </is>
      </c>
      <c r="G27" s="36" t="inlineStr">
        <is>
          <t>Correspondance confirmée</t>
        </is>
      </c>
      <c r="H27" s="38" t="n"/>
      <c r="I27" s="38" t="n"/>
      <c r="J27" s="39" t="n"/>
      <c r="K27" s="25" t="inlineStr">
        <is>
          <t>A</t>
        </is>
      </c>
      <c r="L27" s="25" t="inlineStr">
        <is>
          <t>Suite a votre article de 2020 sur l'asclepiade</t>
        </is>
      </c>
      <c r="M27" s="25" t="inlineStr">
        <is>
          <t>Bonjour Raphaëlle,</t>
        </is>
      </c>
      <c r="N27" s="46" t="inlineStr">
        <is>
          <t>Bonjour Raphaëlle,
Vous aviez écrit « Devenir viral avant même de se lancer en affaires » en janvier 2021.
Voici le chapitre suivant : le 17 septembre, on va défendre la même entreprise devant des
investisseurs à la télévision nationale, dans le premier épisode de la 21e saison de
Dragons' Den.
Ce qui s'est passé entre les deux : on a bâti une usine, on l'a démontée en partie, mis à
pied des gens, sorti l'assemblage textile du Québec, et vendu un manteau à 300 $. La
viralité de 2020 n'a rien réglé de tout ça, elle a juste rendu la chute plus visible.
Je ne peux pas dire comment la rencontre s'est terminée avant la diffusion. Le reste est
racontable.</t>
        </is>
      </c>
    </row>
    <row r="28" ht="15" customHeight="1" s="26">
      <c r="A28" s="36" t="inlineStr">
        <is>
          <t>G. Roy</t>
        </is>
      </c>
      <c r="B28" s="36" t="inlineStr">
        <is>
          <t>Le Quotidien</t>
        </is>
      </c>
      <c r="C28" s="36" t="inlineStr">
        <is>
          <t>groy@lequotidien.com</t>
        </is>
      </c>
      <c r="D28" s="36" t="n"/>
      <c r="E28" s="37" t="n"/>
      <c r="F28" s="36" t="inlineStr">
        <is>
          <t>Fournie par Gabriel</t>
        </is>
      </c>
      <c r="G28" s="40" t="inlineStr">
        <is>
          <t>Non recoupée dans Missive</t>
        </is>
      </c>
      <c r="H28" s="38" t="n"/>
      <c r="I28" s="38" t="n"/>
      <c r="J28" s="39" t="n"/>
      <c r="K28" s="25" t="inlineStr">
        <is>
          <t>A</t>
        </is>
      </c>
      <c r="L28" s="25" t="inlineStr">
        <is>
          <t>Suite a votre article de [année] sur l'asclepiade</t>
        </is>
      </c>
      <c r="M28" s="25" t="inlineStr">
        <is>
          <t>Bonjour,</t>
        </is>
      </c>
      <c r="N28" s="46" t="inlineStr">
        <is>
          <t>Bonjour Guillaume,
Vous avez écrit « La deuxième vie de l'asclépiade » le 9 octobre 2020. Vous avez été le
premier journaliste à parler de nous, avant même qu'on ait livré une seule paire de
mitaines.
Deux choses à vous dire. La première : l'agriculteur du Lac-Saint-Jean qui vous avait donné
envie du sujet à l'époque est encore notre fournisseur. Six ans plus tard, l'asclépiade
pousse toujours dans ce coin-là et elle se retrouve encore dans nos produits. Pour une
filière qui s'est effondrée en 2018, ce n'est pas banal.
La deuxième : le 17 septembre, Lasclay est dans le premier épisode de la 21e saison de
Dragons' Den, sur CBC et CBC Gem. La deuxième vie de l'asclépiade passe à la télévision
nationale.
Je ne peux pas dire comment ça s'est terminé avant la diffusion. Mais si le Lac-Saint-Jean
vous intéresse dans cette histoire, il y a de quoi faire.</t>
        </is>
      </c>
    </row>
    <row r="29" ht="15" customHeight="1" s="26">
      <c r="A29" s="36" t="inlineStr">
        <is>
          <t>Mireille Roberge</t>
        </is>
      </c>
      <c r="B29" s="36" t="inlineStr">
        <is>
          <t>Radio-Canada</t>
        </is>
      </c>
      <c r="C29" s="36" t="inlineStr">
        <is>
          <t>mireille.roberge@radio-canada.ca</t>
        </is>
      </c>
      <c r="D29" s="36" t="n"/>
      <c r="E29" s="37" t="n"/>
      <c r="F29" s="36" t="inlineStr">
        <is>
          <t>Fournie par Gabriel</t>
        </is>
      </c>
      <c r="G29" s="40" t="inlineStr">
        <is>
          <t>Non recoupée dans Missive</t>
        </is>
      </c>
      <c r="H29" s="38" t="n"/>
      <c r="I29" s="38" t="n"/>
      <c r="J29" s="39" t="n"/>
      <c r="K29" s="25" t="inlineStr">
        <is>
          <t>A</t>
        </is>
      </c>
      <c r="L29" s="25" t="inlineStr">
        <is>
          <t>Suite a votre article de [année] sur l'asclepiade</t>
        </is>
      </c>
      <c r="M29" s="25" t="inlineStr">
        <is>
          <t>Bonjour Mireille,</t>
        </is>
      </c>
      <c r="N29" s="46" t="inlineStr">
        <is>
          <t>Bonjour Mireille,
Lasclay est une entreprise de Québec qui transforme la soie d'asclépiade en isolant textile.
Le 17 septembre, on est dans le premier épisode de la 21e saison de Dragons' Den, sur CBC et
CBC Gem.
Le sujet en une phrase : expliquer à un auditoire pancanadien pourquoi la mauvaise herbe des
champs de maïs peut isoler un manteau.
Disponible pour une entrevue la semaine du 14 et le vendredi 18 au matin.</t>
        </is>
      </c>
    </row>
    <row r="30" ht="15" customHeight="1" s="26">
      <c r="A30" s="36" t="inlineStr">
        <is>
          <t>Sophie Laforest</t>
        </is>
      </c>
      <c r="B30" s="36" t="inlineStr">
        <is>
          <t>Radio-Canada</t>
        </is>
      </c>
      <c r="C30" s="36" t="inlineStr">
        <is>
          <t>sophie.laforest@radio-canada.ca</t>
        </is>
      </c>
      <c r="D30" s="36" t="n"/>
      <c r="E30" s="37" t="n"/>
      <c r="F30" s="36" t="inlineStr">
        <is>
          <t>Fournie par Gabriel</t>
        </is>
      </c>
      <c r="G30" s="40" t="inlineStr">
        <is>
          <t>Non recoupée dans Missive</t>
        </is>
      </c>
      <c r="H30" s="38" t="n"/>
      <c r="I30" s="38" t="n"/>
      <c r="J30" s="39" t="n"/>
      <c r="K30" s="25" t="inlineStr">
        <is>
          <t>A</t>
        </is>
      </c>
      <c r="L30" s="25" t="inlineStr">
        <is>
          <t>Suite a votre article de [année] sur l'asclepiade</t>
        </is>
      </c>
      <c r="M30" s="25" t="inlineStr">
        <is>
          <t>Bonjour Sophie,</t>
        </is>
      </c>
      <c r="N30" s="46" t="inlineStr">
        <is>
          <t>Bonjour Sophie,
Lasclay est une entreprise de Québec qui transforme la soie d'asclépiade en isolant textile.
Le 17 septembre, on est dans le premier épisode de la 21e saison de Dragons' Den, sur CBC et
CBC Gem.
L'asclépiade est la seule plante hôte des chenilles du monarque, et la soie attachée à ses
graines est un isolant creux, léger et naturellement hydrophobe.
Disponible pour une entrevue la semaine du 14 et le vendredi 18 au matin.</t>
        </is>
      </c>
    </row>
    <row r="31" ht="15" customHeight="1" s="26">
      <c r="A31" s="36" t="inlineStr">
        <is>
          <t>A. McKenna</t>
        </is>
      </c>
      <c r="B31" s="36" t="inlineStr">
        <is>
          <t>Le Devoir</t>
        </is>
      </c>
      <c r="C31" s="36" t="inlineStr">
        <is>
          <t>amckenna@ledevoir.com</t>
        </is>
      </c>
      <c r="D31" s="36" t="n"/>
      <c r="E31" s="37" t="n"/>
      <c r="F31" s="36" t="inlineStr">
        <is>
          <t>Fournie par Gabriel</t>
        </is>
      </c>
      <c r="G31" s="40" t="inlineStr">
        <is>
          <t>Non recoupée dans Missive</t>
        </is>
      </c>
      <c r="H31" s="38" t="n"/>
      <c r="I31" s="38" t="n"/>
      <c r="J31" s="39" t="n"/>
      <c r="K31" s="25" t="inlineStr">
        <is>
          <t>A</t>
        </is>
      </c>
      <c r="L31" s="25" t="inlineStr">
        <is>
          <t>Suite a votre article de [année] sur l'asclepiade</t>
        </is>
      </c>
      <c r="M31" s="25" t="inlineStr">
        <is>
          <t>Bonjour,</t>
        </is>
      </c>
      <c r="N31" s="46" t="inlineStr">
        <is>
          <t>Bonjour [Prénom],
Lasclay est une entreprise de Québec qui transforme la soie d'asclépiade en isolant textile.
Le 17 septembre, on est dans le premier épisode de la 21e saison de Dragons' Den, sur CBC et
CBC Gem.
L'histoire d'affaires, si elle vous intéresse : on a rapatrié notre production en 2021 faute
de sous-traitant prêt à toucher à la fibre, puis on a confié l'assemblage textile à
l'externe en 2025 pour rendre un manteau accessible à 300 $. Les deux décisions se
défendent, et elles se contredisent en apparence.
Je ne peux pas dire comment la rencontre s'est terminée avant la diffusion.</t>
        </is>
      </c>
    </row>
    <row r="32" ht="15" customHeight="1" s="26">
      <c r="A32" s="36" t="inlineStr">
        <is>
          <t>Sylvie Lemieux</t>
        </is>
      </c>
      <c r="B32" s="36" t="inlineStr">
        <is>
          <t>Pigiste</t>
        </is>
      </c>
      <c r="C32" s="36" t="inlineStr">
        <is>
          <t>sylvielemieux16@gmail.com</t>
        </is>
      </c>
      <c r="D32" s="36" t="n"/>
      <c r="E32" s="37" t="n"/>
      <c r="F32" s="36" t="inlineStr">
        <is>
          <t>Fournie par Gabriel</t>
        </is>
      </c>
      <c r="G32" s="40" t="inlineStr">
        <is>
          <t>Non recoupée dans Missive</t>
        </is>
      </c>
      <c r="H32" s="38" t="n"/>
      <c r="I32" s="38" t="n"/>
      <c r="J32" s="39" t="n"/>
      <c r="K32" s="25" t="inlineStr">
        <is>
          <t>A</t>
        </is>
      </c>
      <c r="L32" s="25" t="inlineStr">
        <is>
          <t>Suite a votre article de [année] sur l'asclepiade</t>
        </is>
      </c>
      <c r="M32" s="25" t="inlineStr">
        <is>
          <t>Bonjour Sylvie,</t>
        </is>
      </c>
      <c r="N32" s="46" t="inlineStr">
        <is>
          <t>Bonjour Sylvie,
Vous aviez écrit « Les deux mains dans l'écoresponsabilité » en décembre 2021. Cinq ans plus
tard, l'écoresponsabilité a rencontré la comptabilité, et ça s'est vu.
On a sorti l'assemblage textile du Québec en 2025 pour rendre un manteau d'asclépiade
accessible à 300 $. Ça a coûté des emplois en production et une partie de ce qui rendait le
projet sympathique. L'asclépiade et l'isolant restent transformés à Limoilou.
Le 17 septembre, Lasclay est dans le premier épisode de la 21e saison de Dragons' Den, sur
CBC et CBC Gem. Je ne peux pas dire comment ça s'est terminé avant la diffusion.
Si vous piquez encore sur l'écoresponsabilité et ses compromis, celui-là est réel.</t>
        </is>
      </c>
    </row>
    <row r="33" ht="15" customHeight="1" s="26">
      <c r="A33" s="36" t="inlineStr">
        <is>
          <t>Sophie Grenier-Héroux</t>
        </is>
      </c>
      <c r="B33" s="36" t="inlineStr">
        <is>
          <t>Pigiste</t>
        </is>
      </c>
      <c r="C33" s="36" t="inlineStr">
        <is>
          <t>sophiegrenierheroux@hotmail.com</t>
        </is>
      </c>
      <c r="D33" s="36" t="n"/>
      <c r="E33" s="37" t="n"/>
      <c r="F33" s="36" t="inlineStr">
        <is>
          <t>Fournie par Gabriel</t>
        </is>
      </c>
      <c r="G33" s="40" t="inlineStr">
        <is>
          <t>Non recoupée dans Missive</t>
        </is>
      </c>
      <c r="H33" s="38" t="n"/>
      <c r="I33" s="38" t="n"/>
      <c r="J33" s="39" t="n"/>
      <c r="K33" s="25" t="inlineStr">
        <is>
          <t>A</t>
        </is>
      </c>
      <c r="L33" s="25" t="inlineStr">
        <is>
          <t>Suite a votre article de [année] sur l'asclepiade</t>
        </is>
      </c>
      <c r="M33" s="25" t="inlineStr">
        <is>
          <t>Bonjour Sophie,</t>
        </is>
      </c>
      <c r="N33" s="46" t="inlineStr">
        <is>
          <t>Bonjour Sophie,
Vous aviez écrit « La soie d'Amérique, le pari de deux ambitieux » dans Le Devoir en janvier
2021. Le pari a six ans, et je peux vous dire où il en est.
Il y a plus de 40 produits, un manteau à 300 $, environ 10 millions de graines distribuées,
et un isolant encore transformé à Limoilou. Il y a aussi une usine démontée en partie, des
mises à pied, et un assemblage textile qui se fait maintenant en Tunisie. Nous ne sommes
plus deux, non plus.
Le 17 septembre, Lasclay est dans le premier épisode de la 21e saison de Dragons' Den, sur
CBC et CBC Gem. Je ne peux rien dire de l'issue avant la diffusion.</t>
        </is>
      </c>
    </row>
    <row r="34" ht="15" customHeight="1" s="26">
      <c r="A34" s="36" t="inlineStr">
        <is>
          <t>Madeleine Goubau</t>
        </is>
      </c>
      <c r="B34" s="36" t="inlineStr">
        <is>
          <t>Pigiste</t>
        </is>
      </c>
      <c r="C34" s="36" t="inlineStr">
        <is>
          <t>madeleine.goubau@gmail.com</t>
        </is>
      </c>
      <c r="D34" s="36" t="n"/>
      <c r="E34" s="37" t="n"/>
      <c r="F34" s="36" t="inlineStr">
        <is>
          <t>Fournie par Gabriel</t>
        </is>
      </c>
      <c r="G34" s="40" t="inlineStr">
        <is>
          <t>Non recoupée dans Missive</t>
        </is>
      </c>
      <c r="H34" s="38" t="n"/>
      <c r="I34" s="38" t="n"/>
      <c r="J34" s="39" t="n"/>
      <c r="K34" s="25" t="inlineStr">
        <is>
          <t>A</t>
        </is>
      </c>
      <c r="L34" s="25" t="inlineStr">
        <is>
          <t>Suite a votre article de [année] sur l'asclepiade</t>
        </is>
      </c>
      <c r="M34" s="25" t="inlineStr">
        <is>
          <t>Bonjour Madeleine,</t>
        </is>
      </c>
      <c r="N34" s="46" t="inlineStr">
        <is>
          <t>Bonjour Madeleine,
Vous couvrez le textile et la mode, alors voici une matière que peu de gens ont vue de près.
La soie d'asclépiade est une fibre creuse et hydrophobe attachée aux graines d'une plante
que les agriculteurs arrachent depuis 50 ans. On l'utilise comme isolant dans des manteaux,
des mitaines et des tuques.
Le 17 septembre, Lasclay est dans le premier épisode de la 21e saison de Dragons' Den, sur
CBC et CBC Gem.
Une précision qui compte dans votre domaine : l'isolant est cultivé et transformé au Québec,
l'assemblage des produits finis se fait en Tunisie depuis 2025. Je ne dis pas « fabriqué au
Québec », ce serait faux.
L'atelier de Limoilou est ouvert si vous voulez toucher la fibre.</t>
        </is>
      </c>
    </row>
    <row r="35" ht="15" customHeight="1" s="26">
      <c r="A35" s="36" t="inlineStr">
        <is>
          <t>Jessica Dostie</t>
        </is>
      </c>
      <c r="B35" s="36" t="inlineStr">
        <is>
          <t>Pigiste</t>
        </is>
      </c>
      <c r="C35" s="36" t="inlineStr">
        <is>
          <t>jessica.dostie@gmail.com</t>
        </is>
      </c>
      <c r="D35" s="36" t="n"/>
      <c r="E35" s="37" t="n"/>
      <c r="F35" s="36" t="inlineStr">
        <is>
          <t>Fournie par Gabriel</t>
        </is>
      </c>
      <c r="G35" s="40" t="inlineStr">
        <is>
          <t>Non recoupée dans Missive</t>
        </is>
      </c>
      <c r="H35" s="38" t="n"/>
      <c r="I35" s="38" t="n"/>
      <c r="J35" s="39" t="n"/>
      <c r="K35" s="25" t="inlineStr">
        <is>
          <t>A</t>
        </is>
      </c>
      <c r="L35" s="25" t="inlineStr">
        <is>
          <t>Suite a votre article de [année] sur l'asclepiade</t>
        </is>
      </c>
      <c r="M35" s="25" t="inlineStr">
        <is>
          <t>Bonjour Jessica,</t>
        </is>
      </c>
      <c r="N35" s="46" t="inlineStr">
        <is>
          <t>Bonjour Jessica,
Lasclay est une entreprise de Québec qui transforme la soie d'asclépiade en isolant textile.
La fibre est attachée aux graines de la plante, elle est creuse, très légère et naturellement
hydrophobe.
Le 17 septembre, on est dans le premier épisode de la 21e saison de Dragons' Den, sur CBC et
CBC Gem.
Ce que je peux raconter : pourquoi la première filière québécoise de l'asclépiade s'est
effondrée en 2018, et ce qu'il faut pour bâtir une chaîne d'approvisionnement à une matière
qui n'en a pas. Je ne peux pas dire comment la rencontre s'est terminée avant la diffusion.</t>
        </is>
      </c>
    </row>
    <row r="36">
      <c r="A36" s="25" t="inlineStr">
        <is>
          <t>Sophie Poisson</t>
        </is>
      </c>
      <c r="B36" s="25" t="inlineStr">
        <is>
          <t>Baron Mag</t>
        </is>
      </c>
      <c r="C36" s="25" t="inlineStr"/>
      <c r="D36" s="25" t="inlineStr">
        <is>
          <t>2020-11-10</t>
        </is>
      </c>
      <c r="E36" s="25" t="inlineStr">
        <is>
          <t>Lasclay : des accessoires d'hiver isoles a l'asclepiade</t>
        </is>
      </c>
      <c r="F36" s="25" t="inlineStr">
        <is>
          <t>Depouillement web (page medias de lasclay.com)</t>
        </is>
      </c>
      <c r="G36" s="25" t="inlineStr">
        <is>
          <t>A verifier</t>
        </is>
      </c>
      <c r="J36" s="25" t="inlineStr">
        <is>
          <t>A mentionne Lasclay. Absente des 34. Courriel a trouver.</t>
        </is>
      </c>
      <c r="K36" s="25" t="inlineStr">
        <is>
          <t>A</t>
        </is>
      </c>
      <c r="L36" s="25" t="inlineStr">
        <is>
          <t>Suite a votre article de 2020 sur l'asclepiade</t>
        </is>
      </c>
      <c r="M36" s="25" t="inlineStr">
        <is>
          <t>Bonjour Sophie,</t>
        </is>
      </c>
      <c r="N36" s="46" t="inlineStr">
        <is>
          <t>Bonjour Sophie,
Vous aviez présenté nos accessoires d'hiver isolés à l'asclépiade en novembre 2020, quand il
y en avait trois. Il y en a maintenant plus de 40, dont des manteaux et des vestes à inserts
amovibles.
Le 17 septembre, Lasclay est dans le premier épisode de la 21e saison de Dragons' Den, sur
CBC et CBC Gem. Je ne peux pas dire comment ça s'est terminé avant la diffusion.
Ce qui a changé et qui est moins agréable à dire : l'assemblage textile se fait maintenant à
l'externe. L'asclépiade et l'isolant restent à Limoilou.</t>
        </is>
      </c>
    </row>
    <row r="37">
      <c r="A37" s="25" t="inlineStr">
        <is>
          <t>Caroline Bertrand</t>
        </is>
      </c>
      <c r="B37" s="25" t="inlineStr">
        <is>
          <t>ICI Explora</t>
        </is>
      </c>
      <c r="C37" s="25" t="inlineStr"/>
      <c r="D37" s="25" t="inlineStr">
        <is>
          <t>2021-09-28</t>
        </is>
      </c>
      <c r="E37" s="25" t="inlineStr">
        <is>
          <t>L'asclepiade pour braver le froid</t>
        </is>
      </c>
      <c r="F37" s="25" t="inlineStr">
        <is>
          <t>Depouillement web (page medias de lasclay.com)</t>
        </is>
      </c>
      <c r="G37" s="25" t="inlineStr">
        <is>
          <t>A verifier</t>
        </is>
      </c>
      <c r="J37" s="25" t="inlineStr">
        <is>
          <t>A mentionne Lasclay. Absente des 34. Courriel a trouver.</t>
        </is>
      </c>
      <c r="K37" s="25" t="inlineStr">
        <is>
          <t>A</t>
        </is>
      </c>
      <c r="L37" s="25" t="inlineStr">
        <is>
          <t>Suite a votre article de 2021 sur l'asclepiade</t>
        </is>
      </c>
      <c r="M37" s="25" t="inlineStr">
        <is>
          <t>Bonjour Caroline,</t>
        </is>
      </c>
      <c r="N37" s="46" t="inlineStr">
        <is>
          <t>Bonjour Caroline,
Vous aviez écrit « L'asclépiade pour braver le froid » en septembre 2021. Cinq ans plus
tard, le froid n'a pas changé, le statut du monarque oui : espèce en voie de disparition
confirmée au Canada en 2024, et proposée comme menacée aux États-Unis.
Le 17 septembre, je vais défendre l'asclépiade dans le premier épisode de la 21e saison de
Dragons' Den, sur CBC et CBC Gem.
L'idée que je vais y plaider : la conservation passe par un débouché économique. Si
l'asclépiade paie, les agriculteurs la gardent. Ça ne veut pas dire qu'un achat sauve un
papillon, et je le précise chaque fois.</t>
        </is>
      </c>
    </row>
    <row r="38">
      <c r="A38" s="25" t="inlineStr">
        <is>
          <t>Karine Benoist</t>
        </is>
      </c>
      <c r="B38" s="25" t="inlineStr">
        <is>
          <t>Chatelaine</t>
        </is>
      </c>
      <c r="C38" s="25" t="inlineStr"/>
      <c r="D38" s="25" t="inlineStr">
        <is>
          <t>2023-11-29</t>
        </is>
      </c>
      <c r="E38" s="25" t="inlineStr">
        <is>
          <t>Cadeaux faits au Quebec : foulard d'asclepiade</t>
        </is>
      </c>
      <c r="F38" s="25" t="inlineStr">
        <is>
          <t>Depouillement web (page medias de lasclay.com)</t>
        </is>
      </c>
      <c r="G38" s="25" t="inlineStr">
        <is>
          <t>A verifier</t>
        </is>
      </c>
      <c r="J38" s="25" t="inlineStr">
        <is>
          <t>A mentionne Lasclay. Absente des 34. Courriel a trouver.</t>
        </is>
      </c>
      <c r="K38" s="25" t="inlineStr">
        <is>
          <t>A</t>
        </is>
      </c>
      <c r="L38" s="25" t="inlineStr">
        <is>
          <t>Suite a votre article de 2023 sur l'asclepiade</t>
        </is>
      </c>
      <c r="M38" s="25" t="inlineStr">
        <is>
          <t>Bonjour Karine,</t>
        </is>
      </c>
      <c r="N38" s="46" t="inlineStr">
        <is>
          <t>Bonjour Karine,
Vous aviez retenu notre foulard d'asclépiade dans vos cadeaux faits au Québec en novembre
2023. Je vous écris avec une nouvelle et une précision.
La nouvelle : le 17 septembre, Lasclay est dans le premier épisode de la 21e saison de
Dragons' Den, sur CBC et CBC Gem.
La précision : depuis 2025, l'assemblage de la majorité de nos produits finis se fait en
Tunisie. L'asclépiade est cultivée au Québec et l'isolant transformé à Limoilou, mais je ne
peux plus vous laisser écrire « fait au Québec » pour un foulard. Je préfère vous le dire
avant que ça se retrouve dans une liste de cadeaux.</t>
        </is>
      </c>
    </row>
  </sheetData>
  <autoFilter ref="A1:J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S22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9" customWidth="1" style="25" min="1" max="1"/>
    <col width="18" customWidth="1" style="25" min="2" max="2"/>
    <col width="20" customWidth="1" style="25" min="3" max="3"/>
    <col width="40" customWidth="1" style="25" min="4" max="4"/>
    <col width="26" customWidth="1" style="25" min="5" max="5"/>
    <col width="36" customWidth="1" style="25" min="6" max="6"/>
    <col width="13" customWidth="1" style="25" min="7" max="7"/>
    <col width="26" customWidth="1" style="25" min="8" max="8"/>
    <col width="40" customWidth="1" style="25" min="9" max="9"/>
    <col width="12" customWidth="1" style="25" min="10" max="10"/>
    <col width="13" customWidth="1" style="25" min="11" max="12"/>
    <col width="22" customWidth="1" style="25" min="13" max="13"/>
    <col width="30" customWidth="1" style="25" min="14" max="14"/>
    <col width="70" customWidth="1" style="26" min="19" max="19"/>
  </cols>
  <sheetData>
    <row r="1" ht="27.75" customHeight="1" s="26">
      <c r="A1" s="34" t="inlineStr">
        <is>
          <t>Priorité</t>
        </is>
      </c>
      <c r="B1" s="34" t="inlineStr">
        <is>
          <t>Prénom</t>
        </is>
      </c>
      <c r="C1" s="34" t="inlineStr">
        <is>
          <t>Nom</t>
        </is>
      </c>
      <c r="D1" s="34" t="inlineStr">
        <is>
          <t>Fonction</t>
        </is>
      </c>
      <c r="E1" s="34" t="inlineStr">
        <is>
          <t>Média</t>
        </is>
      </c>
      <c r="F1" s="34" t="inlineStr">
        <is>
          <t>Courriel</t>
        </is>
      </c>
      <c r="G1" s="34" t="inlineStr">
        <is>
          <t>Téléphone</t>
        </is>
      </c>
      <c r="H1" s="34" t="inlineStr">
        <is>
          <t>Région</t>
        </is>
      </c>
      <c r="I1" s="34" t="inlineStr">
        <is>
          <t>Secteurs pertinents</t>
        </is>
      </c>
      <c r="J1" s="34" t="inlineStr">
        <is>
          <t>Déjà contacté</t>
        </is>
      </c>
      <c r="K1" s="34" t="inlineStr">
        <is>
          <t>Fiche FPJQ</t>
        </is>
      </c>
      <c r="L1" s="34" t="inlineStr">
        <is>
          <t>Envoyé le</t>
        </is>
      </c>
      <c r="M1" s="34" t="inlineStr">
        <is>
          <t>Réponse</t>
        </is>
      </c>
      <c r="N1" s="34" t="inlineStr">
        <is>
          <t>Notes</t>
        </is>
      </c>
      <c r="O1" s="35" t="inlineStr">
        <is>
          <t>Angle</t>
        </is>
      </c>
      <c r="P1" s="35" t="inlineStr">
        <is>
          <t>Objet suggéré</t>
        </is>
      </c>
      <c r="Q1" s="35" t="inlineStr">
        <is>
          <t>Salutation</t>
        </is>
      </c>
      <c r="R1" s="35" t="inlineStr">
        <is>
          <t>Précaution</t>
        </is>
      </c>
      <c r="S1" s="35" t="inlineStr">
        <is>
          <t>Brouillon</t>
        </is>
      </c>
    </row>
    <row r="2" ht="23.85" customHeight="1" s="26">
      <c r="A2" s="41" t="inlineStr">
        <is>
          <t>A</t>
        </is>
      </c>
      <c r="B2" s="36" t="inlineStr">
        <is>
          <t>Marie</t>
        </is>
      </c>
      <c r="C2" s="36" t="inlineStr">
        <is>
          <t>Allard</t>
        </is>
      </c>
      <c r="D2" s="37" t="inlineStr">
        <is>
          <t>Directrice générale et éditrice</t>
        </is>
      </c>
      <c r="E2" s="36" t="inlineStr">
        <is>
          <t>Publications BLD inc</t>
        </is>
      </c>
      <c r="F2" s="36" t="inlineStr">
        <is>
          <t>marie.allard@laesdebrouillards.com</t>
        </is>
      </c>
      <c r="G2" s="36" t="inlineStr">
        <is>
          <t>514 208-5083</t>
        </is>
      </c>
      <c r="H2" s="36" t="inlineStr">
        <is>
          <t>Montréal</t>
        </is>
      </c>
      <c r="I2" s="37" t="inlineStr">
        <is>
          <t>Agriculture; Art de vivre; Consommation; Environnement; Sciences</t>
        </is>
      </c>
      <c r="J2" s="36" t="n"/>
      <c r="K2" s="42" t="inlineStr">
        <is>
          <t>Ouvrir</t>
        </is>
      </c>
      <c r="L2" s="38" t="n"/>
      <c r="M2" s="38" t="n"/>
      <c r="N2" s="39" t="n"/>
      <c r="O2" s="25" t="inlineStr">
        <is>
          <t>C</t>
        </is>
      </c>
      <c r="P2" s="25" t="inlineStr">
        <is>
          <t>L'asclepiade, huit ans apres l'effondrement de la filiere</t>
        </is>
      </c>
      <c r="Q2" s="25" t="inlineStr">
        <is>
          <t>Bonjour Marie,</t>
        </is>
      </c>
      <c r="S2" s="46" t="inlineStr">
        <is>
          <t>Bonjour Marie,
Il y a une histoire de sciences dans l'asclépiade qui se raconte bien à tous les âges :
la soie attachée à ses graines n'est pas un poil, c'est un tube creux enduit d'une cire
hydrophobe, et les fibres portent une charge qui les fait se repousser. C'est ce qui
forme le parachute autour de la graine, et c'est ce qui emprisonne l'air.
Chaque follicule produit en moyenne plus de 200 graines soyeuses. C'est aussi la seule
plante que les chenilles du monarque peuvent manger.
On en fait de l'isolant pour des manteaux et des mitaines, et le 17 septembre, Lasclay est dans le premier épisode de la 21e saison de Dragons' Den, sur CBC et CBC Gem.
Je ne peux pas dire comment ça s'est terminé avant la diffusion. Si le sujet vous intéresse pour vos lecteurs, l'atelier de Limoilou est ouvert.</t>
        </is>
      </c>
    </row>
    <row r="3" ht="15" customHeight="1" s="26">
      <c r="A3" s="41" t="inlineStr">
        <is>
          <t>A</t>
        </is>
      </c>
      <c r="B3" s="36" t="inlineStr">
        <is>
          <t>Zoé</t>
        </is>
      </c>
      <c r="C3" s="36" t="inlineStr">
        <is>
          <t>Allemand</t>
        </is>
      </c>
      <c r="D3" s="37" t="inlineStr">
        <is>
          <t>journaliste</t>
        </is>
      </c>
      <c r="E3" s="36" t="inlineStr">
        <is>
          <t>Pigiste</t>
        </is>
      </c>
      <c r="F3" s="36" t="inlineStr">
        <is>
          <t>zoe.allemand@hotmail.com</t>
        </is>
      </c>
      <c r="G3" s="36" t="n"/>
      <c r="H3" s="36" t="inlineStr">
        <is>
          <t>Est-du-Québec</t>
        </is>
      </c>
      <c r="I3" s="37" t="inlineStr">
        <is>
          <t>Agriculture; Art de vivre; Consommation; Plein air</t>
        </is>
      </c>
      <c r="J3" s="36" t="n"/>
      <c r="K3" s="42" t="inlineStr">
        <is>
          <t>Ouvrir</t>
        </is>
      </c>
      <c r="L3" s="38" t="n"/>
      <c r="M3" s="38" t="n"/>
      <c r="N3" s="39" t="n"/>
      <c r="O3" s="25" t="inlineStr">
        <is>
          <t>C</t>
        </is>
      </c>
      <c r="P3" s="25" t="inlineStr">
        <is>
          <t>L'asclepiade, huit ans apres l'effondrement de la filiere</t>
        </is>
      </c>
      <c r="Q3" s="25" t="inlineStr">
        <is>
          <t>Bonjour Zoé,</t>
        </is>
      </c>
      <c r="R3" s="25" t="inlineStr">
        <is>
          <t>Adresse personnelle : individualiser vraiment</t>
        </is>
      </c>
      <c r="S3" s="46" t="inlineStr">
        <is>
          <t>Bonjour Zoé,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4" ht="23.85" customHeight="1" s="26">
      <c r="A4" s="41" t="inlineStr">
        <is>
          <t>A</t>
        </is>
      </c>
      <c r="B4" s="36" t="inlineStr">
        <is>
          <t>Victoria</t>
        </is>
      </c>
      <c r="C4" s="36" t="inlineStr">
        <is>
          <t>Bakos</t>
        </is>
      </c>
      <c r="D4" s="37" t="inlineStr">
        <is>
          <t>Journaliste</t>
        </is>
      </c>
      <c r="E4" s="36" t="inlineStr">
        <is>
          <t>Pigiste</t>
        </is>
      </c>
      <c r="F4" s="36" t="inlineStr">
        <is>
          <t>victoria_bakos@hotmail.com</t>
        </is>
      </c>
      <c r="G4" s="36" t="n"/>
      <c r="H4" s="36" t="inlineStr">
        <is>
          <t>Laval</t>
        </is>
      </c>
      <c r="I4" s="37" t="inlineStr">
        <is>
          <t>Art de vivre; Consommation; Environnement; Mode et beauté; Économie</t>
        </is>
      </c>
      <c r="J4" s="36" t="n"/>
      <c r="K4" s="42" t="inlineStr">
        <is>
          <t>Ouvrir</t>
        </is>
      </c>
      <c r="L4" s="38" t="n"/>
      <c r="M4" s="38" t="n"/>
      <c r="N4" s="39" t="n"/>
      <c r="O4" s="25" t="inlineStr">
        <is>
          <t>G</t>
        </is>
      </c>
      <c r="P4" s="25" t="inlineStr">
        <is>
          <t>Un manteau isole avec une mauvaise herbe, au premier episode de Dragons' Den</t>
        </is>
      </c>
      <c r="Q4" s="25" t="inlineStr">
        <is>
          <t>Bonjour Victoria,</t>
        </is>
      </c>
      <c r="R4" s="25" t="inlineStr">
        <is>
          <t>Adresse personnelle : individualiser vraiment</t>
        </is>
      </c>
      <c r="S4" s="46" t="inlineStr">
        <is>
          <t>Bonjour Victoria,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5" ht="15" customHeight="1" s="26">
      <c r="A5" s="41" t="inlineStr">
        <is>
          <t>A</t>
        </is>
      </c>
      <c r="B5" s="36" t="inlineStr">
        <is>
          <t>Marie-Émélie</t>
        </is>
      </c>
      <c r="C5" s="36" t="inlineStr">
        <is>
          <t>Bernier</t>
        </is>
      </c>
      <c r="D5" s="37" t="inlineStr">
        <is>
          <t>Journaliste, chroniqueuse, photographe, pigiste</t>
        </is>
      </c>
      <c r="E5" s="36" t="inlineStr">
        <is>
          <t>Le Charlevoisien</t>
        </is>
      </c>
      <c r="F5" s="36" t="inlineStr">
        <is>
          <t>ebernier@lecharlevoisien.com</t>
        </is>
      </c>
      <c r="G5" s="36" t="inlineStr">
        <is>
          <t>418-435-0220</t>
        </is>
      </c>
      <c r="H5" s="36" t="inlineStr">
        <is>
          <t>Capitale-Nationale/Chaudière-Appalaches</t>
        </is>
      </c>
      <c r="I5" s="37" t="inlineStr">
        <is>
          <t>Agriculture; Art de vivre; Environnement; Plein air; Sciences</t>
        </is>
      </c>
      <c r="J5" s="36" t="n"/>
      <c r="K5" s="42" t="inlineStr">
        <is>
          <t>Ouvrir</t>
        </is>
      </c>
      <c r="L5" s="38" t="n"/>
      <c r="M5" s="38" t="n"/>
      <c r="N5" s="39" t="n"/>
      <c r="O5" s="25" t="inlineStr">
        <is>
          <t>B</t>
        </is>
      </c>
      <c r="P5" s="25" t="inlineStr">
        <is>
          <t>Capitale-Nationale/Chaudière-Appalaches : Lasclay au premier episode de la 21e saison de Dragons' Den</t>
        </is>
      </c>
      <c r="Q5" s="25" t="inlineStr">
        <is>
          <t>Bonjour Marie-Émélie,</t>
        </is>
      </c>
      <c r="S5" s="46" t="inlineStr">
        <is>
          <t>Bonjour Marie-Émélie,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6" ht="23.85" customHeight="1" s="26">
      <c r="A6" s="41" t="inlineStr">
        <is>
          <t>A</t>
        </is>
      </c>
      <c r="B6" s="36" t="inlineStr">
        <is>
          <t>Normand</t>
        </is>
      </c>
      <c r="C6" s="36" t="inlineStr">
        <is>
          <t>Blouin</t>
        </is>
      </c>
      <c r="D6" s="37" t="inlineStr">
        <is>
          <t>Photographe de presse</t>
        </is>
      </c>
      <c r="E6" s="36" t="inlineStr">
        <is>
          <t>Pigiste</t>
        </is>
      </c>
      <c r="F6" s="36" t="inlineStr">
        <is>
          <t>normandblouin@gmail.com</t>
        </is>
      </c>
      <c r="G6" s="36" t="inlineStr">
        <is>
          <t>15145765423</t>
        </is>
      </c>
      <c r="H6" s="36" t="inlineStr">
        <is>
          <t>Laurentides</t>
        </is>
      </c>
      <c r="I6" s="37" t="inlineStr">
        <is>
          <t>Agriculture; Art de vivre; Consommation; Environnement; Plein air</t>
        </is>
      </c>
      <c r="J6" s="36" t="n"/>
      <c r="K6" s="42" t="inlineStr">
        <is>
          <t>Ouvrir</t>
        </is>
      </c>
      <c r="L6" s="38" t="n"/>
      <c r="M6" s="38" t="n"/>
      <c r="N6" s="39" t="n"/>
      <c r="O6" s="25" t="inlineStr">
        <is>
          <t>C</t>
        </is>
      </c>
      <c r="P6" s="25" t="inlineStr">
        <is>
          <t>L'asclepiade, huit ans apres l'effondrement de la filiere</t>
        </is>
      </c>
      <c r="Q6" s="25" t="inlineStr">
        <is>
          <t>Bonjour Normand,</t>
        </is>
      </c>
      <c r="R6" s="25" t="inlineStr">
        <is>
          <t>Adresse personnelle : individualiser vraiment</t>
        </is>
      </c>
      <c r="S6" s="46" t="inlineStr">
        <is>
          <t>Bonjour Normand,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7" ht="15" customHeight="1" s="26">
      <c r="A7" s="41" t="inlineStr">
        <is>
          <t>A</t>
        </is>
      </c>
      <c r="B7" s="36" t="inlineStr">
        <is>
          <t>Louise</t>
        </is>
      </c>
      <c r="C7" s="36" t="inlineStr">
        <is>
          <t>Bourbonnais</t>
        </is>
      </c>
      <c r="D7" s="37" t="inlineStr">
        <is>
          <t>Journaliste</t>
        </is>
      </c>
      <c r="E7" s="36" t="inlineStr">
        <is>
          <t>Le Journal de Montréal</t>
        </is>
      </c>
      <c r="F7" s="36" t="inlineStr">
        <is>
          <t>lbourbonnais@videotron.ca</t>
        </is>
      </c>
      <c r="G7" s="36" t="n"/>
      <c r="H7" s="36" t="inlineStr">
        <is>
          <t>Capitale-Nationale/Chaudière-Appalaches</t>
        </is>
      </c>
      <c r="I7" s="37" t="inlineStr">
        <is>
          <t>Art de vivre; Consommation</t>
        </is>
      </c>
      <c r="J7" s="36" t="n"/>
      <c r="K7" s="42" t="inlineStr">
        <is>
          <t>Ouvrir</t>
        </is>
      </c>
      <c r="L7" s="38" t="n"/>
      <c r="M7" s="38" t="n"/>
      <c r="N7" s="39" t="n"/>
      <c r="O7" s="25" t="inlineStr">
        <is>
          <t>B</t>
        </is>
      </c>
      <c r="P7" s="25" t="inlineStr">
        <is>
          <t>Capitale-Nationale/Chaudière-Appalaches : Lasclay au premier episode de la 21e saison de Dragons' Den</t>
        </is>
      </c>
      <c r="Q7" s="25" t="inlineStr">
        <is>
          <t>Bonjour Louise,</t>
        </is>
      </c>
      <c r="R7" s="25" t="inlineStr">
        <is>
          <t>Adresse personnelle : individualiser vraiment</t>
        </is>
      </c>
      <c r="S7" s="46" t="inlineStr">
        <is>
          <t>Bonjour Louise,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8" ht="15" customHeight="1" s="26">
      <c r="A8" s="41" t="inlineStr">
        <is>
          <t>A</t>
        </is>
      </c>
      <c r="B8" s="36" t="inlineStr">
        <is>
          <t>Francois</t>
        </is>
      </c>
      <c r="C8" s="36" t="inlineStr">
        <is>
          <t>Bourque</t>
        </is>
      </c>
      <c r="D8" s="37" t="inlineStr">
        <is>
          <t>journaliste</t>
        </is>
      </c>
      <c r="E8" s="36" t="inlineStr">
        <is>
          <t>Pigiste</t>
        </is>
      </c>
      <c r="F8" s="36" t="inlineStr">
        <is>
          <t>franbour2@videotron.ca</t>
        </is>
      </c>
      <c r="G8" s="36" t="n"/>
      <c r="H8" s="36" t="inlineStr">
        <is>
          <t>Capitale-Nationale/Chaudière-Appalaches</t>
        </is>
      </c>
      <c r="I8" s="37" t="inlineStr">
        <is>
          <t>Économie</t>
        </is>
      </c>
      <c r="J8" s="36" t="n"/>
      <c r="K8" s="42" t="inlineStr">
        <is>
          <t>Ouvrir</t>
        </is>
      </c>
      <c r="L8" s="38" t="n"/>
      <c r="M8" s="38" t="n"/>
      <c r="N8" s="39" t="n"/>
      <c r="O8" s="25" t="inlineStr">
        <is>
          <t>E</t>
        </is>
      </c>
      <c r="P8" s="25" t="inlineStr">
        <is>
          <t>Une PME qui a rapatrie sa production, puis en a delocalise une partie</t>
        </is>
      </c>
      <c r="Q8" s="25" t="inlineStr">
        <is>
          <t>Bonjour Francois,</t>
        </is>
      </c>
      <c r="R8" s="25" t="inlineStr">
        <is>
          <t>Adresse personnelle : individualiser vraiment</t>
        </is>
      </c>
      <c r="S8" s="46" t="inlineStr">
        <is>
          <t>Bonjour Francois,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9" ht="15" customHeight="1" s="26">
      <c r="A9" s="41" t="inlineStr">
        <is>
          <t>A</t>
        </is>
      </c>
      <c r="B9" s="36" t="inlineStr">
        <is>
          <t>Ariane</t>
        </is>
      </c>
      <c r="C9" s="36" t="inlineStr">
        <is>
          <t>Boyer</t>
        </is>
      </c>
      <c r="D9" s="37" t="inlineStr">
        <is>
          <t>Journaliste</t>
        </is>
      </c>
      <c r="E9" s="36" t="inlineStr">
        <is>
          <t>Pigiste</t>
        </is>
      </c>
      <c r="F9" s="36" t="inlineStr">
        <is>
          <t>ariane.boyer@tva.ca</t>
        </is>
      </c>
      <c r="G9" s="36" t="inlineStr">
        <is>
          <t>5816732446</t>
        </is>
      </c>
      <c r="H9" s="36" t="inlineStr">
        <is>
          <t>Est-du-Québec</t>
        </is>
      </c>
      <c r="I9" s="37" t="inlineStr">
        <is>
          <t>Environnement; Sciences; Économie</t>
        </is>
      </c>
      <c r="J9" s="36" t="n"/>
      <c r="K9" s="42" t="inlineStr">
        <is>
          <t>Ouvrir</t>
        </is>
      </c>
      <c r="L9" s="38" t="n"/>
      <c r="M9" s="38" t="n"/>
      <c r="N9" s="39" t="n"/>
      <c r="O9" s="25" t="inlineStr">
        <is>
          <t>D</t>
        </is>
      </c>
      <c r="P9" s="25" t="inlineStr">
        <is>
          <t>Le monarque, l'asclepiade, et l'idee qu'il faut la rendre payante</t>
        </is>
      </c>
      <c r="Q9" s="25" t="inlineStr">
        <is>
          <t>Bonjour Ariane,</t>
        </is>
      </c>
      <c r="R9" s="25" t="inlineStr">
        <is>
          <t>Adresse personnelle : individualiser vraiment</t>
        </is>
      </c>
      <c r="S9" s="46" t="inlineStr">
        <is>
          <t>Bonjour Ariane,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0" ht="15" customHeight="1" s="26">
      <c r="A10" s="41" t="inlineStr">
        <is>
          <t>A</t>
        </is>
      </c>
      <c r="B10" s="36" t="inlineStr">
        <is>
          <t>Gilbert</t>
        </is>
      </c>
      <c r="C10" s="36" t="inlineStr">
        <is>
          <t>Bégin</t>
        </is>
      </c>
      <c r="D10" s="37" t="inlineStr">
        <is>
          <t>Journaliste Affaires Publiques</t>
        </is>
      </c>
      <c r="E10" s="36" t="inlineStr">
        <is>
          <t>Radio-Canada (Québec)</t>
        </is>
      </c>
      <c r="F10" s="36" t="inlineStr">
        <is>
          <t>gilbert.begin@radio-canada.ca</t>
        </is>
      </c>
      <c r="G10" s="36" t="inlineStr">
        <is>
          <t>4185648653</t>
        </is>
      </c>
      <c r="H10" s="36" t="inlineStr">
        <is>
          <t>Capitale-Nationale/Chaudière-Appalaches</t>
        </is>
      </c>
      <c r="I10" s="37" t="inlineStr">
        <is>
          <t>Agriculture; Environnement; Plein air; Sciences</t>
        </is>
      </c>
      <c r="J10" s="36" t="n"/>
      <c r="K10" s="42" t="inlineStr">
        <is>
          <t>Ouvrir</t>
        </is>
      </c>
      <c r="L10" s="38" t="n"/>
      <c r="M10" s="38" t="n"/>
      <c r="N10" s="39" t="n"/>
      <c r="O10" s="25" t="inlineStr">
        <is>
          <t>B</t>
        </is>
      </c>
      <c r="P10" s="25" t="inlineStr">
        <is>
          <t>Capitale-Nationale/Chaudière-Appalaches : Lasclay au premier episode de la 21e saison de Dragons' Den</t>
        </is>
      </c>
      <c r="Q10" s="25" t="inlineStr">
        <is>
          <t>Bonjour Gilbert,</t>
        </is>
      </c>
      <c r="S10" s="46" t="inlineStr">
        <is>
          <t>Bonjour Gilbert,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1" ht="23.85" customHeight="1" s="26">
      <c r="A11" s="41" t="inlineStr">
        <is>
          <t>A</t>
        </is>
      </c>
      <c r="B11" s="36" t="inlineStr">
        <is>
          <t>Papa Moussa</t>
        </is>
      </c>
      <c r="C11" s="36" t="inlineStr">
        <is>
          <t>Camara</t>
        </is>
      </c>
      <c r="D11" s="37" t="inlineStr">
        <is>
          <t>Journaliste-Animateur</t>
        </is>
      </c>
      <c r="E11" s="36" t="inlineStr">
        <is>
          <t>Pigiste</t>
        </is>
      </c>
      <c r="F11" s="36" t="inlineStr">
        <is>
          <t>pamoussa012@gmail.com</t>
        </is>
      </c>
      <c r="G11" s="36" t="inlineStr">
        <is>
          <t>5813494906</t>
        </is>
      </c>
      <c r="H11" s="36" t="inlineStr">
        <is>
          <t>Capitale-Nationale/Chaudière-Appalaches</t>
        </is>
      </c>
      <c r="I11" s="37" t="inlineStr">
        <is>
          <t>Agriculture; Art de vivre; Environnement; Mode et beauté; Plein air; Sciences; Économie</t>
        </is>
      </c>
      <c r="J11" s="36" t="n"/>
      <c r="K11" s="42" t="inlineStr">
        <is>
          <t>Ouvrir</t>
        </is>
      </c>
      <c r="L11" s="38" t="n"/>
      <c r="M11" s="38" t="n"/>
      <c r="N11" s="39" t="n"/>
      <c r="O11" s="25" t="inlineStr">
        <is>
          <t>I</t>
        </is>
      </c>
      <c r="P11" s="25" t="inlineStr">
        <is>
          <t>Invite disponible : Lasclay a Dragons' Den le 17 septembre</t>
        </is>
      </c>
      <c r="Q11" s="25" t="inlineStr">
        <is>
          <t>Bonjour Papa Moussa,</t>
        </is>
      </c>
      <c r="R11" s="25" t="inlineStr">
        <is>
          <t>Adresse personnelle : individualiser vraiment</t>
        </is>
      </c>
      <c r="S11" s="46" t="inlineStr">
        <is>
          <t>Bonjour Papa Moussa,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2" ht="15" customHeight="1" s="26">
      <c r="A12" s="41" t="inlineStr">
        <is>
          <t>A</t>
        </is>
      </c>
      <c r="B12" s="36" t="inlineStr">
        <is>
          <t>Victor</t>
        </is>
      </c>
      <c r="C12" s="36" t="inlineStr">
        <is>
          <t>Carré</t>
        </is>
      </c>
      <c r="D12" s="37" t="inlineStr">
        <is>
          <t>Journaliste</t>
        </is>
      </c>
      <c r="E12" s="36" t="inlineStr">
        <is>
          <t>Le Charlevoisien</t>
        </is>
      </c>
      <c r="F12" s="36" t="inlineStr">
        <is>
          <t>vcarre@lecharlevoisien.com</t>
        </is>
      </c>
      <c r="G12" s="36" t="inlineStr">
        <is>
          <t>418-435-0220 P.2254</t>
        </is>
      </c>
      <c r="H12" s="36" t="inlineStr">
        <is>
          <t>Capitale-Nationale/Chaudière-Appalaches</t>
        </is>
      </c>
      <c r="I12" s="37" t="inlineStr">
        <is>
          <t>Économie</t>
        </is>
      </c>
      <c r="J12" s="36" t="n"/>
      <c r="K12" s="42" t="inlineStr">
        <is>
          <t>Ouvrir</t>
        </is>
      </c>
      <c r="L12" s="38" t="n"/>
      <c r="M12" s="38" t="n"/>
      <c r="N12" s="39" t="n"/>
      <c r="O12" s="25" t="inlineStr">
        <is>
          <t>B</t>
        </is>
      </c>
      <c r="P12" s="25" t="inlineStr">
        <is>
          <t>Capitale-Nationale/Chaudière-Appalaches : Lasclay au premier episode de la 21e saison de Dragons' Den</t>
        </is>
      </c>
      <c r="Q12" s="25" t="inlineStr">
        <is>
          <t>Bonjour Victor,</t>
        </is>
      </c>
      <c r="S12" s="46" t="inlineStr">
        <is>
          <t>Bonjour Victor,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3" ht="15" customHeight="1" s="26">
      <c r="A13" s="41" t="inlineStr">
        <is>
          <t>A</t>
        </is>
      </c>
      <c r="B13" s="36" t="inlineStr">
        <is>
          <t>Eric</t>
        </is>
      </c>
      <c r="C13" s="36" t="inlineStr">
        <is>
          <t>Chabot</t>
        </is>
      </c>
      <c r="D13" s="37" t="inlineStr">
        <is>
          <t>Photographe</t>
        </is>
      </c>
      <c r="E13" s="36" t="inlineStr">
        <is>
          <t>Pigiste</t>
        </is>
      </c>
      <c r="F13" s="36" t="inlineStr">
        <is>
          <t>info@ericchabot.com</t>
        </is>
      </c>
      <c r="G13" s="36" t="n"/>
      <c r="H13" s="36" t="inlineStr">
        <is>
          <t>Montréal</t>
        </is>
      </c>
      <c r="I13" s="37" t="inlineStr">
        <is>
          <t>Environnement; Plein air; Sciences</t>
        </is>
      </c>
      <c r="J13" s="36" t="n"/>
      <c r="K13" s="42" t="inlineStr">
        <is>
          <t>Ouvrir</t>
        </is>
      </c>
      <c r="L13" s="38" t="n"/>
      <c r="M13" s="38" t="n"/>
      <c r="N13" s="39" t="n"/>
      <c r="O13" s="25" t="inlineStr">
        <is>
          <t>F</t>
        </is>
      </c>
      <c r="P13" s="25" t="inlineStr">
        <is>
          <t>L'asclepiade contre le duvet, et ce que les tests disent vraiment</t>
        </is>
      </c>
      <c r="Q13" s="25" t="inlineStr">
        <is>
          <t>Bonjour Eric,</t>
        </is>
      </c>
      <c r="R13" s="25" t="inlineStr">
        <is>
          <t>Adresse personnelle : individualiser vraiment</t>
        </is>
      </c>
      <c r="S13" s="46" t="inlineStr">
        <is>
          <t>Bonjour Eric,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4" ht="15" customHeight="1" s="26">
      <c r="A14" s="41" t="inlineStr">
        <is>
          <t>A</t>
        </is>
      </c>
      <c r="B14" s="36" t="inlineStr">
        <is>
          <t>Tristan</t>
        </is>
      </c>
      <c r="C14" s="36" t="inlineStr">
        <is>
          <t>Champagne-Lessard</t>
        </is>
      </c>
      <c r="D14" s="37" t="inlineStr">
        <is>
          <t>Journaliste</t>
        </is>
      </c>
      <c r="E14" s="36" t="inlineStr">
        <is>
          <t>Radio-Canada</t>
        </is>
      </c>
      <c r="F14" s="36" t="inlineStr">
        <is>
          <t>tristanchampagnelessard@gmail.com</t>
        </is>
      </c>
      <c r="G14" s="36" t="n"/>
      <c r="H14" s="36" t="inlineStr">
        <is>
          <t>Montérégie</t>
        </is>
      </c>
      <c r="I14" s="37" t="inlineStr">
        <is>
          <t>Consommation; Environnement; Sciences; Économie</t>
        </is>
      </c>
      <c r="J14" s="36" t="n"/>
      <c r="K14" s="42" t="inlineStr">
        <is>
          <t>Ouvrir</t>
        </is>
      </c>
      <c r="L14" s="38" t="n"/>
      <c r="M14" s="38" t="n"/>
      <c r="N14" s="39" t="n"/>
      <c r="O14" s="25" t="inlineStr">
        <is>
          <t>B</t>
        </is>
      </c>
      <c r="P14" s="25" t="inlineStr">
        <is>
          <t>Montérégie : Lasclay au premier episode de la 21e saison de Dragons' Den</t>
        </is>
      </c>
      <c r="Q14" s="25" t="inlineStr">
        <is>
          <t>Bonjour Tristan,</t>
        </is>
      </c>
      <c r="R14" s="25" t="inlineStr">
        <is>
          <t>Adresse personnelle : individualiser vraiment</t>
        </is>
      </c>
      <c r="S14" s="46" t="inlineStr">
        <is>
          <t>Bonjour Tristan,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5" ht="15" customHeight="1" s="26">
      <c r="A15" s="41" t="inlineStr">
        <is>
          <t>A</t>
        </is>
      </c>
      <c r="B15" s="36" t="inlineStr">
        <is>
          <t>Jean-Marc</t>
        </is>
      </c>
      <c r="C15" s="36" t="inlineStr">
        <is>
          <t>Chevalier</t>
        </is>
      </c>
      <c r="D15" s="37" t="inlineStr">
        <is>
          <t>Photographe et pilote de drone</t>
        </is>
      </c>
      <c r="E15" s="36" t="inlineStr">
        <is>
          <t>Pigiste</t>
        </is>
      </c>
      <c r="F15" s="36" t="inlineStr">
        <is>
          <t>info@photojmc.ca</t>
        </is>
      </c>
      <c r="G15" s="36" t="inlineStr">
        <is>
          <t>5146041181</t>
        </is>
      </c>
      <c r="H15" s="36" t="inlineStr">
        <is>
          <t>Montérégie</t>
        </is>
      </c>
      <c r="I15" s="37" t="inlineStr">
        <is>
          <t>Agriculture; Environnement; Plein air; Sciences</t>
        </is>
      </c>
      <c r="J15" s="36" t="n"/>
      <c r="K15" s="42" t="inlineStr">
        <is>
          <t>Ouvrir</t>
        </is>
      </c>
      <c r="L15" s="38" t="n"/>
      <c r="M15" s="38" t="n"/>
      <c r="N15" s="39" t="n"/>
      <c r="O15" s="25" t="inlineStr">
        <is>
          <t>C</t>
        </is>
      </c>
      <c r="P15" s="25" t="inlineStr">
        <is>
          <t>L'asclepiade, huit ans apres l'effondrement de la filiere</t>
        </is>
      </c>
      <c r="Q15" s="25" t="inlineStr">
        <is>
          <t>Bonjour Jean-Marc,</t>
        </is>
      </c>
      <c r="R15" s="25" t="inlineStr">
        <is>
          <t>Adresse personnelle : individualiser vraiment</t>
        </is>
      </c>
      <c r="S15" s="46" t="inlineStr">
        <is>
          <t>Bonjour Jean-Marc,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16" ht="23.85" customHeight="1" s="26">
      <c r="A16" s="41" t="inlineStr">
        <is>
          <t>A</t>
        </is>
      </c>
      <c r="B16" s="36" t="inlineStr">
        <is>
          <t>Simon</t>
        </is>
      </c>
      <c r="C16" s="36" t="inlineStr">
        <is>
          <t>Chrétien</t>
        </is>
      </c>
      <c r="D16" s="37" t="inlineStr">
        <is>
          <t>Rédacteur en chef et journaliste</t>
        </is>
      </c>
      <c r="E16" s="36" t="inlineStr">
        <is>
          <t>Pigiste</t>
        </is>
      </c>
      <c r="F16" s="36" t="inlineStr">
        <is>
          <t>schretien@alliancepolymeres.org</t>
        </is>
      </c>
      <c r="G16" s="36" t="inlineStr">
        <is>
          <t>418-903-0763</t>
        </is>
      </c>
      <c r="H16" s="36" t="inlineStr">
        <is>
          <t>Capitale-Nationale/Chaudière-Appalaches</t>
        </is>
      </c>
      <c r="I16" s="37" t="inlineStr">
        <is>
          <t>Agriculture; Consommation; Environnement; Sciences; Économie</t>
        </is>
      </c>
      <c r="J16" s="36" t="n"/>
      <c r="K16" s="42" t="inlineStr">
        <is>
          <t>Ouvrir</t>
        </is>
      </c>
      <c r="L16" s="38" t="n"/>
      <c r="M16" s="38" t="n"/>
      <c r="N16" s="39" t="n"/>
      <c r="O16" s="25" t="inlineStr">
        <is>
          <t>C</t>
        </is>
      </c>
      <c r="P16" s="25" t="inlineStr">
        <is>
          <t>L'asclepiade, huit ans apres l'effondrement de la filiere</t>
        </is>
      </c>
      <c r="Q16" s="25" t="inlineStr">
        <is>
          <t>Bonjour Simon,</t>
        </is>
      </c>
      <c r="R16" s="25" t="inlineStr">
        <is>
          <t>Adresse personnelle : individualiser vraiment</t>
        </is>
      </c>
      <c r="S16" s="46" t="inlineStr">
        <is>
          <t>Bonjour Simon,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17" ht="15" customHeight="1" s="26">
      <c r="A17" s="41" t="inlineStr">
        <is>
          <t>A</t>
        </is>
      </c>
      <c r="B17" s="36" t="inlineStr">
        <is>
          <t>Maxime</t>
        </is>
      </c>
      <c r="C17" s="36" t="inlineStr">
        <is>
          <t>Corneau</t>
        </is>
      </c>
      <c r="D17" s="37" t="inlineStr">
        <is>
          <t>Journaliste affaires publiques pour La Semaine verte</t>
        </is>
      </c>
      <c r="E17" s="36" t="inlineStr">
        <is>
          <t>Radio-Canada (Québec)</t>
        </is>
      </c>
      <c r="F17" s="36" t="inlineStr">
        <is>
          <t>maxime.corneau@radio-canada.ca</t>
        </is>
      </c>
      <c r="G17" s="36" t="n"/>
      <c r="H17" s="36" t="inlineStr">
        <is>
          <t>Saguenay - Lac-Saint-Jean</t>
        </is>
      </c>
      <c r="I17" s="37" t="inlineStr">
        <is>
          <t>Agriculture; Environnement; Plein air; Sciences</t>
        </is>
      </c>
      <c r="J17" s="36" t="n"/>
      <c r="K17" s="42" t="inlineStr">
        <is>
          <t>Ouvrir</t>
        </is>
      </c>
      <c r="L17" s="38" t="n"/>
      <c r="M17" s="38" t="n"/>
      <c r="N17" s="39" t="n"/>
      <c r="O17" s="25" t="inlineStr">
        <is>
          <t>B</t>
        </is>
      </c>
      <c r="P17" s="25" t="inlineStr">
        <is>
          <t>Saguenay - Lac-Saint-Jean : Lasclay au premier episode de la 21e saison de Dragons' Den</t>
        </is>
      </c>
      <c r="Q17" s="25" t="inlineStr">
        <is>
          <t>Bonjour Maxime,</t>
        </is>
      </c>
      <c r="S17" s="46" t="inlineStr">
        <is>
          <t>Bonjour Maxime,
Un de nos fournisseurs d'asclépiade cultive au Lac-Saint-Jean depuis nos débuts, et il l'est encore aujourd'hui. Pour une filière qui s'est effondrée en 2018, ce n'est pas banal.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8" ht="15" customHeight="1" s="26">
      <c r="A18" s="41" t="inlineStr">
        <is>
          <t>A</t>
        </is>
      </c>
      <c r="B18" s="36" t="inlineStr">
        <is>
          <t>Aurélia</t>
        </is>
      </c>
      <c r="C18" s="36" t="inlineStr">
        <is>
          <t>Crémoux</t>
        </is>
      </c>
      <c r="D18" s="37" t="inlineStr">
        <is>
          <t>journaliste</t>
        </is>
      </c>
      <c r="E18" s="36" t="inlineStr">
        <is>
          <t>Pigiste</t>
        </is>
      </c>
      <c r="F18" s="36" t="inlineStr">
        <is>
          <t>aurelia.cremoux@gmail.com</t>
        </is>
      </c>
      <c r="G18" s="36" t="n"/>
      <c r="H18" s="36" t="inlineStr">
        <is>
          <t>Montréal</t>
        </is>
      </c>
      <c r="I18" s="37" t="inlineStr">
        <is>
          <t>Art de vivre; Environnement; Plein air; Sciences</t>
        </is>
      </c>
      <c r="J18" s="36" t="n"/>
      <c r="K18" s="42" t="inlineStr">
        <is>
          <t>Ouvrir</t>
        </is>
      </c>
      <c r="L18" s="38" t="n"/>
      <c r="M18" s="38" t="n"/>
      <c r="N18" s="39" t="n"/>
      <c r="O18" s="25" t="inlineStr">
        <is>
          <t>F</t>
        </is>
      </c>
      <c r="P18" s="25" t="inlineStr">
        <is>
          <t>L'asclepiade contre le duvet, et ce que les tests disent vraiment</t>
        </is>
      </c>
      <c r="Q18" s="25" t="inlineStr">
        <is>
          <t>Bonjour Aurélia,</t>
        </is>
      </c>
      <c r="R18" s="25" t="inlineStr">
        <is>
          <t>Adresse personnelle : individualiser vraiment</t>
        </is>
      </c>
      <c r="S18" s="46" t="inlineStr">
        <is>
          <t>Bonjour Aurélia,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9" ht="15" customHeight="1" s="26">
      <c r="A19" s="41" t="inlineStr">
        <is>
          <t>A</t>
        </is>
      </c>
      <c r="B19" s="36" t="inlineStr">
        <is>
          <t>Catherine</t>
        </is>
      </c>
      <c r="C19" s="36" t="inlineStr">
        <is>
          <t>Dallaire</t>
        </is>
      </c>
      <c r="D19" s="37" t="inlineStr">
        <is>
          <t>Journaliste indépendante, chroniqueuse</t>
        </is>
      </c>
      <c r="E19" s="36" t="inlineStr">
        <is>
          <t>Pigiste</t>
        </is>
      </c>
      <c r="F19" s="36" t="inlineStr">
        <is>
          <t>dallai.redaction@gmail.com</t>
        </is>
      </c>
      <c r="G19" s="36" t="n"/>
      <c r="H19" s="36" t="inlineStr">
        <is>
          <t>Estrie</t>
        </is>
      </c>
      <c r="I19" s="37" t="inlineStr">
        <is>
          <t>Agriculture; Environnement; Plein air; Sciences</t>
        </is>
      </c>
      <c r="J19" s="36" t="n"/>
      <c r="K19" s="42" t="inlineStr">
        <is>
          <t>Ouvrir</t>
        </is>
      </c>
      <c r="L19" s="38" t="n"/>
      <c r="M19" s="38" t="n"/>
      <c r="N19" s="39" t="n"/>
      <c r="O19" s="25" t="inlineStr">
        <is>
          <t>C</t>
        </is>
      </c>
      <c r="P19" s="25" t="inlineStr">
        <is>
          <t>L'asclepiade, huit ans apres l'effondrement de la filiere</t>
        </is>
      </c>
      <c r="Q19" s="25" t="inlineStr">
        <is>
          <t>Bonjour Catherine,</t>
        </is>
      </c>
      <c r="R19" s="25" t="inlineStr">
        <is>
          <t>Adresse personnelle : individualiser vraiment</t>
        </is>
      </c>
      <c r="S19" s="46" t="inlineStr">
        <is>
          <t>Bonjour Catherine,
Une des usines de transformation de l'asclépiade était à Granby. Elle a fermé avec le reste de la filière, et l'Estrie compte encore des producteurs de la plante.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20" ht="15" customHeight="1" s="26">
      <c r="A20" s="41" t="inlineStr">
        <is>
          <t>A</t>
        </is>
      </c>
      <c r="B20" s="36" t="inlineStr">
        <is>
          <t>Gabriel</t>
        </is>
      </c>
      <c r="C20" s="36" t="inlineStr">
        <is>
          <t>Delisle</t>
        </is>
      </c>
      <c r="D20" s="37" t="inlineStr">
        <is>
          <t>Journaliste</t>
        </is>
      </c>
      <c r="E20" s="36" t="inlineStr">
        <is>
          <t>Le Nouvelliste</t>
        </is>
      </c>
      <c r="F20" s="36" t="inlineStr">
        <is>
          <t>gabriel.delisle@lenouvelliste.qc.ca</t>
        </is>
      </c>
      <c r="G20" s="36" t="inlineStr">
        <is>
          <t>819 376-2501</t>
        </is>
      </c>
      <c r="H20" s="36" t="inlineStr">
        <is>
          <t>Mauricie</t>
        </is>
      </c>
      <c r="I20" s="37" t="inlineStr">
        <is>
          <t>Environnement; Plein air; Économie</t>
        </is>
      </c>
      <c r="J20" s="36" t="n"/>
      <c r="K20" s="42" t="inlineStr">
        <is>
          <t>Ouvrir</t>
        </is>
      </c>
      <c r="L20" s="38" t="n"/>
      <c r="M20" s="38" t="n"/>
      <c r="N20" s="39" t="n"/>
      <c r="O20" s="25" t="inlineStr">
        <is>
          <t>B</t>
        </is>
      </c>
      <c r="P20" s="25" t="inlineStr">
        <is>
          <t>Mauricie : Lasclay au premier episode de la 21e saison de Dragons' Den</t>
        </is>
      </c>
      <c r="Q20" s="25" t="inlineStr">
        <is>
          <t>Bonjour Gabriel,</t>
        </is>
      </c>
      <c r="S20" s="46" t="inlineStr">
        <is>
          <t>Bonjour Gabriel,
L'asclépiade a été une histoire mauricienne avant d'être la nôtre. L'usine de
Saint-Tite achetait 90 % des récoltes du Québec, puis Les Industries Encore 3 ont fait
faillite et la filière s'est effondrée.
On a démarré après. Aujourd'hui on achète encore de l'asclépiade québécoise, on
transforme l'isolant à Limoilou, et le 17 septembre, Lasclay est dans le premier épisode de la 21e saison de Dragons' Den, sur CBC et CBC Gem.
Je ne peux pas dire comment ça s'est terminé avant la diffusion.
L'angle qui me semble le plus juste pour la Mauricie : huit ans après, est-ce qu'il
reste quelque chose de la promesse de Saint-Tite. Je peux répondre sans enjoliver, y
compris sur ce qui n'est toujours pas réglé.</t>
        </is>
      </c>
    </row>
    <row r="21" ht="15" customHeight="1" s="26">
      <c r="A21" s="41" t="inlineStr">
        <is>
          <t>A</t>
        </is>
      </c>
      <c r="B21" s="36" t="inlineStr">
        <is>
          <t>Anaïs</t>
        </is>
      </c>
      <c r="C21" s="36" t="inlineStr">
        <is>
          <t>Desjardins</t>
        </is>
      </c>
      <c r="D21" s="37" t="inlineStr">
        <is>
          <t>Journaliste</t>
        </is>
      </c>
      <c r="E21" s="36" t="inlineStr">
        <is>
          <t>Radio-Canada (Ottawa)</t>
        </is>
      </c>
      <c r="F21" s="36" t="inlineStr">
        <is>
          <t>anais.desjardins@radio-canada.ca</t>
        </is>
      </c>
      <c r="G21" s="36" t="n"/>
      <c r="H21" s="36" t="inlineStr">
        <is>
          <t>Montréal</t>
        </is>
      </c>
      <c r="I21" s="37" t="inlineStr">
        <is>
          <t>Environnement; Sciences; Économie</t>
        </is>
      </c>
      <c r="J21" s="36" t="n"/>
      <c r="K21" s="42" t="inlineStr">
        <is>
          <t>Ouvrir</t>
        </is>
      </c>
      <c r="L21" s="38" t="n"/>
      <c r="M21" s="38" t="n"/>
      <c r="N21" s="39" t="n"/>
      <c r="O21" s="25" t="inlineStr">
        <is>
          <t>D</t>
        </is>
      </c>
      <c r="P21" s="25" t="inlineStr">
        <is>
          <t>Le monarque, l'asclepiade, et l'idee qu'il faut la rendre payante</t>
        </is>
      </c>
      <c r="Q21" s="25" t="inlineStr">
        <is>
          <t>Bonjour Anaïs,</t>
        </is>
      </c>
      <c r="S21" s="46" t="inlineStr">
        <is>
          <t>Bonjour Anaïs,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2" ht="15" customHeight="1" s="26">
      <c r="A22" s="41" t="inlineStr">
        <is>
          <t>A</t>
        </is>
      </c>
      <c r="B22" s="36" t="inlineStr">
        <is>
          <t>Simon</t>
        </is>
      </c>
      <c r="C22" s="36" t="inlineStr">
        <is>
          <t>Dominé</t>
        </is>
      </c>
      <c r="D22" s="37" t="inlineStr">
        <is>
          <t>journaliste</t>
        </is>
      </c>
      <c r="E22" s="36" t="inlineStr">
        <is>
          <t>Pigiste</t>
        </is>
      </c>
      <c r="F22" s="36" t="inlineStr">
        <is>
          <t>sdomine@chga.fm</t>
        </is>
      </c>
      <c r="G22" s="36" t="inlineStr">
        <is>
          <t>8194499730</t>
        </is>
      </c>
      <c r="H22" s="36" t="inlineStr">
        <is>
          <t>Outaouais</t>
        </is>
      </c>
      <c r="I22" s="37" t="inlineStr">
        <is>
          <t>Agriculture; Environnement; Plein air; Sciences; Économie</t>
        </is>
      </c>
      <c r="J22" s="36" t="n"/>
      <c r="K22" s="42" t="inlineStr">
        <is>
          <t>Ouvrir</t>
        </is>
      </c>
      <c r="L22" s="38" t="n"/>
      <c r="M22" s="38" t="n"/>
      <c r="N22" s="39" t="n"/>
      <c r="O22" s="25" t="inlineStr">
        <is>
          <t>C</t>
        </is>
      </c>
      <c r="P22" s="25" t="inlineStr">
        <is>
          <t>L'asclepiade, huit ans apres l'effondrement de la filiere</t>
        </is>
      </c>
      <c r="Q22" s="25" t="inlineStr">
        <is>
          <t>Bonjour Simon,</t>
        </is>
      </c>
      <c r="R22" s="25" t="inlineStr">
        <is>
          <t>Adresse personnelle : individualiser vraiment</t>
        </is>
      </c>
      <c r="S22" s="46" t="inlineStr">
        <is>
          <t>Bonjour Simon,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23" ht="23.85" customHeight="1" s="26">
      <c r="A23" s="41" t="inlineStr">
        <is>
          <t>A</t>
        </is>
      </c>
      <c r="B23" s="36" t="inlineStr">
        <is>
          <t>Karl-Ivann</t>
        </is>
      </c>
      <c r="C23" s="36" t="inlineStr">
        <is>
          <t>Dubé</t>
        </is>
      </c>
      <c r="D23" s="37" t="inlineStr">
        <is>
          <t>Journaliste-Animateur</t>
        </is>
      </c>
      <c r="E23" s="36" t="inlineStr">
        <is>
          <t>SOCAM (Atikamekw-Montagnais)</t>
        </is>
      </c>
      <c r="F23" s="36" t="inlineStr">
        <is>
          <t>kdube@socam.net</t>
        </is>
      </c>
      <c r="G23" s="36" t="inlineStr">
        <is>
          <t>418-843-3873</t>
        </is>
      </c>
      <c r="H23" s="36" t="inlineStr">
        <is>
          <t>Lanaudière</t>
        </is>
      </c>
      <c r="I23" s="37" t="inlineStr">
        <is>
          <t>Art de vivre; Consommation; Environnement; Mode et beauté; Plein air; Sciences; Économie</t>
        </is>
      </c>
      <c r="J23" s="36" t="n"/>
      <c r="K23" s="42" t="inlineStr">
        <is>
          <t>Ouvrir</t>
        </is>
      </c>
      <c r="L23" s="38" t="n"/>
      <c r="M23" s="38" t="n"/>
      <c r="N23" s="39" t="n"/>
      <c r="O23" s="25" t="inlineStr">
        <is>
          <t>I</t>
        </is>
      </c>
      <c r="P23" s="25" t="inlineStr">
        <is>
          <t>Invite disponible : Lasclay a Dragons' Den le 17 septembre</t>
        </is>
      </c>
      <c r="Q23" s="25" t="inlineStr">
        <is>
          <t>Bonjour Karl-Ivann,</t>
        </is>
      </c>
      <c r="S23" s="46" t="inlineStr">
        <is>
          <t>Bonjour Karl-Ivann,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4" ht="15" customHeight="1" s="26">
      <c r="A24" s="41" t="inlineStr">
        <is>
          <t>A</t>
        </is>
      </c>
      <c r="B24" s="36" t="inlineStr">
        <is>
          <t>André</t>
        </is>
      </c>
      <c r="C24" s="36" t="inlineStr">
        <is>
          <t>Fauteux</t>
        </is>
      </c>
      <c r="D24" s="37" t="inlineStr">
        <is>
          <t>Rédacteur en chef</t>
        </is>
      </c>
      <c r="E24" s="36" t="inlineStr">
        <is>
          <t>La Maison du 21e siècle</t>
        </is>
      </c>
      <c r="F24" s="36" t="inlineStr">
        <is>
          <t>andre@maisonsaine.ca</t>
        </is>
      </c>
      <c r="G24" s="36" t="inlineStr">
        <is>
          <t>450 745-0609</t>
        </is>
      </c>
      <c r="H24" s="36" t="inlineStr">
        <is>
          <t>Laurentides</t>
        </is>
      </c>
      <c r="I24" s="37" t="inlineStr">
        <is>
          <t>Consommation; Environnement; Sciences</t>
        </is>
      </c>
      <c r="J24" s="36" t="n"/>
      <c r="K24" s="42" t="inlineStr">
        <is>
          <t>Ouvrir</t>
        </is>
      </c>
      <c r="L24" s="38" t="n"/>
      <c r="M24" s="38" t="n"/>
      <c r="N24" s="39" t="n"/>
      <c r="O24" s="25" t="inlineStr">
        <is>
          <t>B</t>
        </is>
      </c>
      <c r="P24" s="25" t="inlineStr">
        <is>
          <t>Laurentides : Lasclay au premier episode de la 21e saison de Dragons' Den</t>
        </is>
      </c>
      <c r="Q24" s="25" t="inlineStr">
        <is>
          <t>Bonjour André,</t>
        </is>
      </c>
      <c r="S24" s="46" t="inlineStr">
        <is>
          <t>Bonjour André,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25" ht="15" customHeight="1" s="26">
      <c r="A25" s="41" t="inlineStr">
        <is>
          <t>A</t>
        </is>
      </c>
      <c r="B25" s="36" t="inlineStr">
        <is>
          <t>Myriam</t>
        </is>
      </c>
      <c r="C25" s="36" t="inlineStr">
        <is>
          <t>Fimbry</t>
        </is>
      </c>
      <c r="D25" s="37" t="inlineStr">
        <is>
          <t>Reporter nationale</t>
        </is>
      </c>
      <c r="E25" s="36" t="inlineStr">
        <is>
          <t>Radio-Canada (QC)</t>
        </is>
      </c>
      <c r="F25" s="36" t="inlineStr">
        <is>
          <t>myriam.fimbry@radio-canada.ca</t>
        </is>
      </c>
      <c r="G25" s="36" t="inlineStr">
        <is>
          <t>514 597-4001</t>
        </is>
      </c>
      <c r="H25" s="36" t="inlineStr">
        <is>
          <t>Montréal</t>
        </is>
      </c>
      <c r="I25" s="37" t="inlineStr">
        <is>
          <t>Agriculture; Environnement; Sciences; Économie</t>
        </is>
      </c>
      <c r="J25" s="36" t="n"/>
      <c r="K25" s="42" t="inlineStr">
        <is>
          <t>Ouvrir</t>
        </is>
      </c>
      <c r="L25" s="38" t="n"/>
      <c r="M25" s="38" t="n"/>
      <c r="N25" s="39" t="n"/>
      <c r="O25" s="25" t="inlineStr">
        <is>
          <t>C</t>
        </is>
      </c>
      <c r="P25" s="25" t="inlineStr">
        <is>
          <t>L'asclepiade, huit ans apres l'effondrement de la filiere</t>
        </is>
      </c>
      <c r="Q25" s="25" t="inlineStr">
        <is>
          <t>Bonjour Myriam,</t>
        </is>
      </c>
      <c r="S25" s="46" t="inlineStr">
        <is>
          <t>Bonjour Myriam,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26" ht="23.85" customHeight="1" s="26">
      <c r="A26" s="41" t="inlineStr">
        <is>
          <t>A</t>
        </is>
      </c>
      <c r="B26" s="36" t="inlineStr">
        <is>
          <t>Étienne</t>
        </is>
      </c>
      <c r="C26" s="36" t="inlineStr">
        <is>
          <t>Fortin-Gauthier</t>
        </is>
      </c>
      <c r="D26" s="37" t="inlineStr">
        <is>
          <t>Journaliste</t>
        </is>
      </c>
      <c r="E26" s="36" t="inlineStr">
        <is>
          <t>Noovo Info</t>
        </is>
      </c>
      <c r="F26" s="36" t="inlineStr">
        <is>
          <t>etiennefgauthier@bellmedia.ca</t>
        </is>
      </c>
      <c r="G26" s="36" t="n"/>
      <c r="H26" s="36" t="inlineStr">
        <is>
          <t>Montréal</t>
        </is>
      </c>
      <c r="I26" s="37" t="inlineStr">
        <is>
          <t>Agriculture; Consommation; Environnement; Plein air; Économie</t>
        </is>
      </c>
      <c r="J26" s="36" t="n"/>
      <c r="K26" s="42" t="inlineStr">
        <is>
          <t>Ouvrir</t>
        </is>
      </c>
      <c r="L26" s="38" t="n"/>
      <c r="M26" s="38" t="n"/>
      <c r="N26" s="39" t="n"/>
      <c r="O26" s="25" t="inlineStr">
        <is>
          <t>I</t>
        </is>
      </c>
      <c r="P26" s="25" t="inlineStr">
        <is>
          <t>Invite disponible : Lasclay a Dragons' Den le 17 septembre</t>
        </is>
      </c>
      <c r="Q26" s="25" t="inlineStr">
        <is>
          <t>Bonjour Étienne,</t>
        </is>
      </c>
      <c r="S26" s="46" t="inlineStr">
        <is>
          <t>Bonjour Étienne,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7" ht="23.85" customHeight="1" s="26">
      <c r="A27" s="41" t="inlineStr">
        <is>
          <t>A</t>
        </is>
      </c>
      <c r="B27" s="36" t="inlineStr">
        <is>
          <t>Johanne</t>
        </is>
      </c>
      <c r="C27" s="36" t="inlineStr">
        <is>
          <t>Fournier</t>
        </is>
      </c>
      <c r="D27" s="37" t="inlineStr">
        <is>
          <t>Journaliste-photographe</t>
        </is>
      </c>
      <c r="E27" s="36" t="inlineStr">
        <is>
          <t>Le Soleil</t>
        </is>
      </c>
      <c r="F27" s="36" t="inlineStr">
        <is>
          <t>j.fournier@telus.net</t>
        </is>
      </c>
      <c r="G27" s="36" t="inlineStr">
        <is>
          <t>418 737-9665</t>
        </is>
      </c>
      <c r="H27" s="36" t="inlineStr">
        <is>
          <t>Est-du-Québec</t>
        </is>
      </c>
      <c r="I27" s="37" t="inlineStr">
        <is>
          <t>Agriculture; Art de vivre; Consommation; Environnement; Plein air; Sciences; Économie</t>
        </is>
      </c>
      <c r="J27" s="36" t="n"/>
      <c r="K27" s="42" t="inlineStr">
        <is>
          <t>Ouvrir</t>
        </is>
      </c>
      <c r="L27" s="38" t="n"/>
      <c r="M27" s="38" t="n"/>
      <c r="N27" s="39" t="n"/>
      <c r="O27" s="25" t="inlineStr">
        <is>
          <t>B</t>
        </is>
      </c>
      <c r="P27" s="25" t="inlineStr">
        <is>
          <t>Est-du-Québec : Lasclay au premier episode de la 21e saison de Dragons' Den</t>
        </is>
      </c>
      <c r="Q27" s="25" t="inlineStr">
        <is>
          <t>Bonjour Johanne,</t>
        </is>
      </c>
      <c r="S27" s="46" t="inlineStr">
        <is>
          <t>Bonjour Johanne,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28" ht="15" customHeight="1" s="26">
      <c r="A28" s="41" t="inlineStr">
        <is>
          <t>A</t>
        </is>
      </c>
      <c r="B28" s="36" t="inlineStr">
        <is>
          <t>Jean</t>
        </is>
      </c>
      <c r="C28" s="36" t="inlineStr">
        <is>
          <t>Garon</t>
        </is>
      </c>
      <c r="D28" s="37" t="inlineStr">
        <is>
          <t>Journaliste pigiste spécialisé</t>
        </is>
      </c>
      <c r="E28" s="36" t="inlineStr">
        <is>
          <t>Pigiste</t>
        </is>
      </c>
      <c r="F28" s="36" t="inlineStr">
        <is>
          <t>jeangaron@videotron.ca</t>
        </is>
      </c>
      <c r="G28" s="36" t="inlineStr">
        <is>
          <t>450-465-3726</t>
        </is>
      </c>
      <c r="H28" s="36" t="inlineStr">
        <is>
          <t>Montréal</t>
        </is>
      </c>
      <c r="I28" s="37" t="inlineStr">
        <is>
          <t>Consommation; Environnement; Sciences; Économie</t>
        </is>
      </c>
      <c r="J28" s="36" t="n"/>
      <c r="K28" s="42" t="inlineStr">
        <is>
          <t>Ouvrir</t>
        </is>
      </c>
      <c r="L28" s="38" t="n"/>
      <c r="M28" s="38" t="n"/>
      <c r="N28" s="39" t="n"/>
      <c r="O28" s="25" t="inlineStr">
        <is>
          <t>D</t>
        </is>
      </c>
      <c r="P28" s="25" t="inlineStr">
        <is>
          <t>Le monarque, l'asclepiade, et l'idee qu'il faut la rendre payante</t>
        </is>
      </c>
      <c r="Q28" s="25" t="inlineStr">
        <is>
          <t>Bonjour Jean,</t>
        </is>
      </c>
      <c r="R28" s="25" t="inlineStr">
        <is>
          <t>Adresse personnelle : individualiser vraiment</t>
        </is>
      </c>
      <c r="S28" s="46" t="inlineStr">
        <is>
          <t>Bonjour Jean,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9" ht="15" customHeight="1" s="26">
      <c r="A29" s="41" t="inlineStr">
        <is>
          <t>A</t>
        </is>
      </c>
      <c r="B29" s="36" t="inlineStr">
        <is>
          <t>Cécile</t>
        </is>
      </c>
      <c r="C29" s="36" t="inlineStr">
        <is>
          <t>Gladel</t>
        </is>
      </c>
      <c r="D29" s="37" t="inlineStr">
        <is>
          <t>Journaliste - recherchiste - édimestre</t>
        </is>
      </c>
      <c r="E29" s="36" t="inlineStr">
        <is>
          <t>Radio-Canada</t>
        </is>
      </c>
      <c r="F29" s="36" t="inlineStr">
        <is>
          <t>cecile.gladel@gmail.com</t>
        </is>
      </c>
      <c r="G29" s="36" t="n"/>
      <c r="H29" s="36" t="inlineStr">
        <is>
          <t>Montréal</t>
        </is>
      </c>
      <c r="I29" s="37" t="inlineStr">
        <is>
          <t>Art de vivre; Consommation; Environnement; Plein air</t>
        </is>
      </c>
      <c r="J29" s="36" t="n"/>
      <c r="K29" s="42" t="inlineStr">
        <is>
          <t>Ouvrir</t>
        </is>
      </c>
      <c r="L29" s="38" t="n"/>
      <c r="M29" s="38" t="n"/>
      <c r="N29" s="39" t="n"/>
      <c r="O29" s="25" t="inlineStr">
        <is>
          <t>I</t>
        </is>
      </c>
      <c r="P29" s="25" t="inlineStr">
        <is>
          <t>Invite disponible : Lasclay a Dragons' Den le 17 septembre</t>
        </is>
      </c>
      <c r="Q29" s="25" t="inlineStr">
        <is>
          <t>Bonjour Cécile,</t>
        </is>
      </c>
      <c r="R29" s="25" t="inlineStr">
        <is>
          <t>Adresse personnelle : individualiser vraiment</t>
        </is>
      </c>
      <c r="S29" s="46" t="inlineStr">
        <is>
          <t>Bonjour Cécile,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30" ht="15" customHeight="1" s="26">
      <c r="A30" s="41" t="inlineStr">
        <is>
          <t>A</t>
        </is>
      </c>
      <c r="B30" s="36" t="inlineStr">
        <is>
          <t>Marieke</t>
        </is>
      </c>
      <c r="C30" s="36" t="inlineStr">
        <is>
          <t>Glorieux-Stryckman</t>
        </is>
      </c>
      <c r="D30" s="37" t="inlineStr">
        <is>
          <t>Pupitre web et journaliste surnuméraire</t>
        </is>
      </c>
      <c r="E30" s="36" t="inlineStr">
        <is>
          <t>Le Devoir</t>
        </is>
      </c>
      <c r="F30" s="36" t="inlineStr">
        <is>
          <t>mariekestryckman@gmail.com</t>
        </is>
      </c>
      <c r="G30" s="36" t="inlineStr">
        <is>
          <t>(438) 499-4194</t>
        </is>
      </c>
      <c r="H30" s="36" t="inlineStr">
        <is>
          <t>Montréal</t>
        </is>
      </c>
      <c r="I30" s="37" t="inlineStr">
        <is>
          <t>Environnement; Plein air; Sciences; Économie</t>
        </is>
      </c>
      <c r="J30" s="36" t="n"/>
      <c r="K30" s="42" t="inlineStr">
        <is>
          <t>Ouvrir</t>
        </is>
      </c>
      <c r="L30" s="38" t="n"/>
      <c r="M30" s="38" t="n"/>
      <c r="N30" s="39" t="n"/>
      <c r="O30" s="25" t="inlineStr">
        <is>
          <t>F</t>
        </is>
      </c>
      <c r="P30" s="25" t="inlineStr">
        <is>
          <t>L'asclepiade contre le duvet, et ce que les tests disent vraiment</t>
        </is>
      </c>
      <c r="Q30" s="25" t="inlineStr">
        <is>
          <t>Bonjour Marieke,</t>
        </is>
      </c>
      <c r="R30" s="25" t="inlineStr">
        <is>
          <t>Adresse personnelle : individualiser vraiment</t>
        </is>
      </c>
      <c r="S30" s="46" t="inlineStr">
        <is>
          <t>Bonjour Marieke,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31" ht="23.85" customHeight="1" s="26">
      <c r="A31" s="41" t="inlineStr">
        <is>
          <t>A</t>
        </is>
      </c>
      <c r="B31" s="36" t="inlineStr">
        <is>
          <t>Maude</t>
        </is>
      </c>
      <c r="C31" s="36" t="inlineStr">
        <is>
          <t>Goyer</t>
        </is>
      </c>
      <c r="D31" s="37" t="inlineStr">
        <is>
          <t>Journaliste et chroniqueuse</t>
        </is>
      </c>
      <c r="E31" s="36" t="inlineStr">
        <is>
          <t>Pigiste</t>
        </is>
      </c>
      <c r="F31" s="36" t="inlineStr">
        <is>
          <t>maude.goyer@hec.ca</t>
        </is>
      </c>
      <c r="G31" s="36" t="inlineStr">
        <is>
          <t>5149633588</t>
        </is>
      </c>
      <c r="H31" s="36" t="inlineStr">
        <is>
          <t>Montréal</t>
        </is>
      </c>
      <c r="I31" s="37" t="inlineStr">
        <is>
          <t>Art de vivre; Consommation; Environnement; Plein air; Économie</t>
        </is>
      </c>
      <c r="J31" s="36" t="n"/>
      <c r="K31" s="42" t="inlineStr">
        <is>
          <t>Ouvrir</t>
        </is>
      </c>
      <c r="L31" s="38" t="n"/>
      <c r="M31" s="38" t="n"/>
      <c r="N31" s="39" t="n"/>
      <c r="O31" s="25" t="inlineStr">
        <is>
          <t>F</t>
        </is>
      </c>
      <c r="P31" s="25" t="inlineStr">
        <is>
          <t>L'asclepiade contre le duvet, et ce que les tests disent vraiment</t>
        </is>
      </c>
      <c r="Q31" s="25" t="inlineStr">
        <is>
          <t>Bonjour Maude,</t>
        </is>
      </c>
      <c r="R31" s="25" t="inlineStr">
        <is>
          <t>Adresse personnelle : individualiser vraiment</t>
        </is>
      </c>
      <c r="S31" s="46" t="inlineStr">
        <is>
          <t>Bonjour Maude,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32" ht="15" customHeight="1" s="26">
      <c r="A32" s="41" t="inlineStr">
        <is>
          <t>A</t>
        </is>
      </c>
      <c r="B32" s="36" t="inlineStr">
        <is>
          <t>Pauline</t>
        </is>
      </c>
      <c r="C32" s="36" t="inlineStr">
        <is>
          <t>Gravel</t>
        </is>
      </c>
      <c r="D32" s="37" t="inlineStr">
        <is>
          <t>Journaliste</t>
        </is>
      </c>
      <c r="E32" s="36" t="inlineStr">
        <is>
          <t>Le Devoir</t>
        </is>
      </c>
      <c r="F32" s="36" t="inlineStr">
        <is>
          <t>pgravel@ledevoir.com</t>
        </is>
      </c>
      <c r="G32" s="36" t="inlineStr">
        <is>
          <t>514 985-3333</t>
        </is>
      </c>
      <c r="H32" s="36" t="inlineStr">
        <is>
          <t>Montréal</t>
        </is>
      </c>
      <c r="I32" s="37" t="inlineStr">
        <is>
          <t>Agriculture; Environnement; Sciences</t>
        </is>
      </c>
      <c r="J32" s="36" t="n"/>
      <c r="K32" s="42" t="inlineStr">
        <is>
          <t>Ouvrir</t>
        </is>
      </c>
      <c r="L32" s="38" t="n"/>
      <c r="M32" s="38" t="n"/>
      <c r="N32" s="39" t="n"/>
      <c r="O32" s="25" t="inlineStr">
        <is>
          <t>C</t>
        </is>
      </c>
      <c r="P32" s="25" t="inlineStr">
        <is>
          <t>L'asclepiade, huit ans apres l'effondrement de la filiere</t>
        </is>
      </c>
      <c r="Q32" s="25" t="inlineStr">
        <is>
          <t>Bonjour Pauline,</t>
        </is>
      </c>
      <c r="S32" s="46" t="inlineStr">
        <is>
          <t>Bonjour Pauline,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33" ht="23.85" customHeight="1" s="26">
      <c r="A33" s="41" t="inlineStr">
        <is>
          <t>A</t>
        </is>
      </c>
      <c r="B33" s="36" t="inlineStr">
        <is>
          <t>Bernard</t>
        </is>
      </c>
      <c r="C33" s="36" t="inlineStr">
        <is>
          <t>Hervieux</t>
        </is>
      </c>
      <c r="D33" s="37" t="inlineStr">
        <is>
          <t>Journaliste-Animateur</t>
        </is>
      </c>
      <c r="E33" s="36" t="inlineStr">
        <is>
          <t>SOCAM (Atikamekw-Montagnais)</t>
        </is>
      </c>
      <c r="F33" s="36" t="inlineStr">
        <is>
          <t>bhervieux@socam.net</t>
        </is>
      </c>
      <c r="G33" s="36" t="inlineStr">
        <is>
          <t>418-843-3873</t>
        </is>
      </c>
      <c r="H33" s="36" t="inlineStr">
        <is>
          <t>Capitale-Nationale/Chaudière-Appalaches</t>
        </is>
      </c>
      <c r="I33" s="37" t="inlineStr">
        <is>
          <t>Art de vivre; Consommation; Environnement; Mode et beauté; Plein air; Sciences; Économie</t>
        </is>
      </c>
      <c r="J33" s="36" t="n"/>
      <c r="K33" s="42" t="inlineStr">
        <is>
          <t>Ouvrir</t>
        </is>
      </c>
      <c r="L33" s="38" t="n"/>
      <c r="M33" s="38" t="n"/>
      <c r="N33" s="39" t="n"/>
      <c r="O33" s="25" t="inlineStr">
        <is>
          <t>I</t>
        </is>
      </c>
      <c r="P33" s="25" t="inlineStr">
        <is>
          <t>Invite disponible : Lasclay a Dragons' Den le 17 septembre</t>
        </is>
      </c>
      <c r="Q33" s="25" t="inlineStr">
        <is>
          <t>Bonjour Bernard,</t>
        </is>
      </c>
      <c r="S33" s="46" t="inlineStr">
        <is>
          <t>Bonjour Bernard,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34" ht="23.85" customHeight="1" s="26">
      <c r="A34" s="41" t="inlineStr">
        <is>
          <t>A</t>
        </is>
      </c>
      <c r="B34" s="36" t="inlineStr">
        <is>
          <t>Leïla</t>
        </is>
      </c>
      <c r="C34" s="36" t="inlineStr">
        <is>
          <t>Jolin-Dahel</t>
        </is>
      </c>
      <c r="D34" s="37" t="inlineStr">
        <is>
          <t>Journaliste</t>
        </is>
      </c>
      <c r="E34" s="36" t="inlineStr">
        <is>
          <t>Le Devoir</t>
        </is>
      </c>
      <c r="F34" s="36" t="inlineStr">
        <is>
          <t>leila.jolindahel@gmail.com</t>
        </is>
      </c>
      <c r="G34" s="36" t="inlineStr">
        <is>
          <t>514 690-5271</t>
        </is>
      </c>
      <c r="H34" s="36" t="inlineStr">
        <is>
          <t>Montréal</t>
        </is>
      </c>
      <c r="I34" s="37" t="inlineStr">
        <is>
          <t>Agriculture; Art de vivre; Consommation; Environnement; Mode et beauté; Plein air; Sciences; Économie</t>
        </is>
      </c>
      <c r="J34" s="36" t="n"/>
      <c r="K34" s="42" t="inlineStr">
        <is>
          <t>Ouvrir</t>
        </is>
      </c>
      <c r="L34" s="38" t="n"/>
      <c r="M34" s="38" t="n"/>
      <c r="N34" s="39" t="n"/>
      <c r="O34" s="25" t="inlineStr">
        <is>
          <t>C</t>
        </is>
      </c>
      <c r="P34" s="25" t="inlineStr">
        <is>
          <t>L'asclepiade, huit ans apres l'effondrement de la filiere</t>
        </is>
      </c>
      <c r="Q34" s="25" t="inlineStr">
        <is>
          <t>Bonjour Leïla,</t>
        </is>
      </c>
      <c r="R34" s="25" t="inlineStr">
        <is>
          <t>Adresse personnelle : individualiser vraiment</t>
        </is>
      </c>
      <c r="S34" s="46" t="inlineStr">
        <is>
          <t>Bonjour Leïla,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35" ht="15" customHeight="1" s="26">
      <c r="A35" s="41" t="inlineStr">
        <is>
          <t>A</t>
        </is>
      </c>
      <c r="B35" s="36" t="inlineStr">
        <is>
          <t>Kodjo Edjinam Nulagnon</t>
        </is>
      </c>
      <c r="C35" s="36" t="inlineStr">
        <is>
          <t>LOGO</t>
        </is>
      </c>
      <c r="D35" s="37" t="inlineStr">
        <is>
          <t>JOURNALISTE SENIOR</t>
        </is>
      </c>
      <c r="E35" s="36" t="inlineStr">
        <is>
          <t>Pigiste</t>
        </is>
      </c>
      <c r="F35" s="36" t="inlineStr">
        <is>
          <t>alphonse@flofm.ca</t>
        </is>
      </c>
      <c r="G35" s="36" t="inlineStr">
        <is>
          <t>4187222566</t>
        </is>
      </c>
      <c r="H35" s="36" t="inlineStr">
        <is>
          <t>Est-du-Québec</t>
        </is>
      </c>
      <c r="I35" s="37" t="inlineStr">
        <is>
          <t>Art de vivre; Environnement; Sciences; Économie</t>
        </is>
      </c>
      <c r="J35" s="36" t="n"/>
      <c r="K35" s="42" t="inlineStr">
        <is>
          <t>Ouvrir</t>
        </is>
      </c>
      <c r="L35" s="38" t="n"/>
      <c r="M35" s="38" t="n"/>
      <c r="N35" s="39" t="n"/>
      <c r="O35" s="25" t="inlineStr">
        <is>
          <t>D</t>
        </is>
      </c>
      <c r="P35" s="25" t="inlineStr">
        <is>
          <t>Le monarque, l'asclepiade, et l'idee qu'il faut la rendre payante</t>
        </is>
      </c>
      <c r="Q35" s="25" t="inlineStr">
        <is>
          <t>Bonjour Kodjo Edjinam Nulagnon,</t>
        </is>
      </c>
      <c r="R35" s="25" t="inlineStr">
        <is>
          <t>Adresse personnelle : individualiser vraiment</t>
        </is>
      </c>
      <c r="S35" s="46" t="inlineStr">
        <is>
          <t>Bonjour Kodjo Edjinam Nulagnon,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36" ht="15" customHeight="1" s="26">
      <c r="A36" s="41" t="inlineStr">
        <is>
          <t>A</t>
        </is>
      </c>
      <c r="B36" s="36" t="inlineStr">
        <is>
          <t>Annie</t>
        </is>
      </c>
      <c r="C36" s="36" t="inlineStr">
        <is>
          <t>Labrecque</t>
        </is>
      </c>
      <c r="D36" s="37" t="inlineStr">
        <is>
          <t>Journaliste</t>
        </is>
      </c>
      <c r="E36" s="36" t="inlineStr">
        <is>
          <t>Québec Science</t>
        </is>
      </c>
      <c r="F36" s="36" t="inlineStr">
        <is>
          <t>alabrecque@live.ca</t>
        </is>
      </c>
      <c r="G36" s="36" t="n"/>
      <c r="H36" s="36" t="inlineStr">
        <is>
          <t>Montréal</t>
        </is>
      </c>
      <c r="I36" s="37" t="inlineStr">
        <is>
          <t>Agriculture; Environnement; Sciences</t>
        </is>
      </c>
      <c r="J36" s="36" t="n"/>
      <c r="K36" s="42" t="inlineStr">
        <is>
          <t>Ouvrir</t>
        </is>
      </c>
      <c r="L36" s="38" t="n"/>
      <c r="M36" s="38" t="n"/>
      <c r="N36" s="39" t="n"/>
      <c r="O36" s="25" t="inlineStr">
        <is>
          <t>C</t>
        </is>
      </c>
      <c r="P36" s="25" t="inlineStr">
        <is>
          <t>L'asclepiade, huit ans apres l'effondrement de la filiere</t>
        </is>
      </c>
      <c r="Q36" s="25" t="inlineStr">
        <is>
          <t>Bonjour Annie,</t>
        </is>
      </c>
      <c r="S36" s="46" t="inlineStr">
        <is>
          <t>Bonjour Annie,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37" ht="15" customHeight="1" s="26">
      <c r="A37" s="41" t="inlineStr">
        <is>
          <t>A</t>
        </is>
      </c>
      <c r="B37" s="36" t="inlineStr">
        <is>
          <t>Marianne</t>
        </is>
      </c>
      <c r="C37" s="36" t="inlineStr">
        <is>
          <t>Lachapelle</t>
        </is>
      </c>
      <c r="D37" s="37" t="inlineStr">
        <is>
          <t>Journaliste</t>
        </is>
      </c>
      <c r="E37" s="36" t="inlineStr">
        <is>
          <t>TVA Nouvelles</t>
        </is>
      </c>
      <c r="F37" s="36" t="inlineStr">
        <is>
          <t>marianne.lachapelle@tva.ca</t>
        </is>
      </c>
      <c r="G37" s="36" t="n"/>
      <c r="H37" s="36" t="inlineStr">
        <is>
          <t>Estrie</t>
        </is>
      </c>
      <c r="I37" s="37" t="inlineStr">
        <is>
          <t>Agriculture; Consommation; Environnement; Plein air</t>
        </is>
      </c>
      <c r="J37" s="36" t="n"/>
      <c r="K37" s="42" t="inlineStr">
        <is>
          <t>Ouvrir</t>
        </is>
      </c>
      <c r="L37" s="38" t="n"/>
      <c r="M37" s="38" t="n"/>
      <c r="N37" s="39" t="n"/>
      <c r="O37" s="25" t="inlineStr">
        <is>
          <t>I</t>
        </is>
      </c>
      <c r="P37" s="25" t="inlineStr">
        <is>
          <t>Invite disponible : Lasclay a Dragons' Den le 17 septembre</t>
        </is>
      </c>
      <c r="Q37" s="25" t="inlineStr">
        <is>
          <t>Bonjour Marianne,</t>
        </is>
      </c>
      <c r="S37" s="46" t="inlineStr">
        <is>
          <t>Bonjour Marianne,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38" ht="15" customHeight="1" s="26">
      <c r="A38" s="41" t="inlineStr">
        <is>
          <t>A</t>
        </is>
      </c>
      <c r="B38" s="36" t="inlineStr">
        <is>
          <t>Sophie</t>
        </is>
      </c>
      <c r="C38" s="36" t="inlineStr">
        <is>
          <t>Lachapelle</t>
        </is>
      </c>
      <c r="D38" s="37" t="inlineStr">
        <is>
          <t>Journaliste</t>
        </is>
      </c>
      <c r="E38" s="36" t="inlineStr">
        <is>
          <t>Nouveau Projet</t>
        </is>
      </c>
      <c r="F38" s="36" t="inlineStr">
        <is>
          <t>sophiela8@me.com</t>
        </is>
      </c>
      <c r="G38" s="36" t="inlineStr">
        <is>
          <t>514-569-0880</t>
        </is>
      </c>
      <c r="H38" s="36" t="inlineStr">
        <is>
          <t>Montréal</t>
        </is>
      </c>
      <c r="I38" s="37" t="inlineStr">
        <is>
          <t>Agriculture; Environnement; Économie</t>
        </is>
      </c>
      <c r="J38" s="36" t="n"/>
      <c r="K38" s="42" t="inlineStr">
        <is>
          <t>Ouvrir</t>
        </is>
      </c>
      <c r="L38" s="38" t="n"/>
      <c r="M38" s="38" t="n"/>
      <c r="N38" s="39" t="n"/>
      <c r="O38" s="25" t="inlineStr">
        <is>
          <t>C</t>
        </is>
      </c>
      <c r="P38" s="25" t="inlineStr">
        <is>
          <t>L'asclepiade, huit ans apres l'effondrement de la filiere</t>
        </is>
      </c>
      <c r="Q38" s="25" t="inlineStr">
        <is>
          <t>Bonjour Sophie,</t>
        </is>
      </c>
      <c r="R38" s="25" t="inlineStr">
        <is>
          <t>Adresse personnelle : individualiser vraiment</t>
        </is>
      </c>
      <c r="S38" s="46" t="inlineStr">
        <is>
          <t>Bonjour Sophie,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39" ht="15" customHeight="1" s="26">
      <c r="A39" s="41" t="inlineStr">
        <is>
          <t>A</t>
        </is>
      </c>
      <c r="B39" s="36" t="inlineStr">
        <is>
          <t>Alain</t>
        </is>
      </c>
      <c r="C39" s="36" t="inlineStr">
        <is>
          <t>Laforest</t>
        </is>
      </c>
      <c r="D39" s="37" t="inlineStr">
        <is>
          <t>Correspondant parlementaire</t>
        </is>
      </c>
      <c r="E39" s="36" t="inlineStr">
        <is>
          <t>TVA Nouvelles</t>
        </is>
      </c>
      <c r="F39" s="36" t="inlineStr">
        <is>
          <t>alain.laforest@tva.ca</t>
        </is>
      </c>
      <c r="G39" s="36" t="n"/>
      <c r="H39" s="36" t="inlineStr">
        <is>
          <t>Capitale-Nationale/Chaudière-Appalaches</t>
        </is>
      </c>
      <c r="I39" s="37" t="inlineStr">
        <is>
          <t>Environnement; Économie</t>
        </is>
      </c>
      <c r="J39" s="36" t="n"/>
      <c r="K39" s="42" t="inlineStr">
        <is>
          <t>Ouvrir</t>
        </is>
      </c>
      <c r="L39" s="38" t="n"/>
      <c r="M39" s="38" t="n"/>
      <c r="N39" s="39" t="n"/>
      <c r="O39" s="25" t="inlineStr">
        <is>
          <t>I</t>
        </is>
      </c>
      <c r="P39" s="25" t="inlineStr">
        <is>
          <t>Invite disponible : Lasclay a Dragons' Den le 17 septembre</t>
        </is>
      </c>
      <c r="Q39" s="25" t="inlineStr">
        <is>
          <t>Bonjour Alain,</t>
        </is>
      </c>
      <c r="S39" s="46" t="inlineStr">
        <is>
          <t>Bonjour Alain,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40" ht="15" customHeight="1" s="26">
      <c r="A40" s="41" t="inlineStr">
        <is>
          <t>A</t>
        </is>
      </c>
      <c r="B40" s="36" t="inlineStr">
        <is>
          <t>Mikaël</t>
        </is>
      </c>
      <c r="C40" s="36" t="inlineStr">
        <is>
          <t>Lalancette</t>
        </is>
      </c>
      <c r="D40" s="37" t="inlineStr">
        <is>
          <t>Journaliste</t>
        </is>
      </c>
      <c r="E40" s="36" t="inlineStr">
        <is>
          <t>Le Soleil</t>
        </is>
      </c>
      <c r="F40" s="36" t="inlineStr">
        <is>
          <t>mlalancette@lesoleil.com</t>
        </is>
      </c>
      <c r="G40" s="36" t="n"/>
      <c r="H40" s="36" t="inlineStr">
        <is>
          <t>Capitale-Nationale/Chaudière-Appalaches</t>
        </is>
      </c>
      <c r="I40" s="37" t="inlineStr">
        <is>
          <t>Économie</t>
        </is>
      </c>
      <c r="J40" s="36" t="n"/>
      <c r="K40" s="42" t="inlineStr">
        <is>
          <t>Ouvrir</t>
        </is>
      </c>
      <c r="L40" s="38" t="n"/>
      <c r="M40" s="38" t="n"/>
      <c r="N40" s="39" t="n"/>
      <c r="O40" s="25" t="inlineStr">
        <is>
          <t>B</t>
        </is>
      </c>
      <c r="P40" s="25" t="inlineStr">
        <is>
          <t>Capitale-Nationale/Chaudière-Appalaches : Lasclay au premier episode de la 21e saison de Dragons' Den</t>
        </is>
      </c>
      <c r="Q40" s="25" t="inlineStr">
        <is>
          <t>Bonjour Mikaël,</t>
        </is>
      </c>
      <c r="S40" s="46" t="inlineStr">
        <is>
          <t>Bonjour Mikaël,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41" ht="15" customHeight="1" s="26">
      <c r="A41" s="41" t="inlineStr">
        <is>
          <t>A</t>
        </is>
      </c>
      <c r="B41" s="36" t="inlineStr">
        <is>
          <t>Jean-Luc</t>
        </is>
      </c>
      <c r="C41" s="36" t="inlineStr">
        <is>
          <t>Lavallée</t>
        </is>
      </c>
      <c r="D41" s="37" t="inlineStr">
        <is>
          <t>Journaliste</t>
        </is>
      </c>
      <c r="E41" s="36" t="inlineStr">
        <is>
          <t>Protégez-Vous</t>
        </is>
      </c>
      <c r="F41" s="36" t="inlineStr">
        <is>
          <t>jllavallee@protegez-vous.ca</t>
        </is>
      </c>
      <c r="G41" s="36" t="inlineStr">
        <is>
          <t>514-461-3000, poste 105</t>
        </is>
      </c>
      <c r="H41" s="36" t="inlineStr">
        <is>
          <t>Capitale-Nationale/Chaudière-Appalaches</t>
        </is>
      </c>
      <c r="I41" s="37" t="inlineStr">
        <is>
          <t>Consommation; Économie</t>
        </is>
      </c>
      <c r="J41" s="36" t="n"/>
      <c r="K41" s="42" t="inlineStr">
        <is>
          <t>Ouvrir</t>
        </is>
      </c>
      <c r="L41" s="38" t="n"/>
      <c r="M41" s="38" t="n"/>
      <c r="N41" s="39" t="n"/>
      <c r="O41" s="25" t="inlineStr">
        <is>
          <t>E</t>
        </is>
      </c>
      <c r="P41" s="25" t="inlineStr">
        <is>
          <t>Une PME qui a rapatrie sa production, puis en a delocalise une partie</t>
        </is>
      </c>
      <c r="Q41" s="25" t="inlineStr">
        <is>
          <t>Bonjour Jean-Luc,</t>
        </is>
      </c>
      <c r="S41" s="46" t="inlineStr">
        <is>
          <t>Bonjour Jean-Luc,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42" ht="15" customHeight="1" s="26">
      <c r="A42" s="41" t="inlineStr">
        <is>
          <t>A</t>
        </is>
      </c>
      <c r="B42" s="36" t="inlineStr">
        <is>
          <t>Jean-Francois</t>
        </is>
      </c>
      <c r="C42" s="36" t="inlineStr">
        <is>
          <t>Leblanc</t>
        </is>
      </c>
      <c r="D42" s="37" t="inlineStr">
        <is>
          <t>Photographe/vidéaste de reportage</t>
        </is>
      </c>
      <c r="E42" s="36" t="inlineStr">
        <is>
          <t>Pigiste</t>
        </is>
      </c>
      <c r="F42" s="36" t="inlineStr">
        <is>
          <t>jfleblanc@agencestockphoto.com</t>
        </is>
      </c>
      <c r="G42" s="36" t="inlineStr">
        <is>
          <t>514 235-4960</t>
        </is>
      </c>
      <c r="H42" s="36" t="inlineStr">
        <is>
          <t>Laurentides</t>
        </is>
      </c>
      <c r="I42" s="37" t="inlineStr">
        <is>
          <t>Environnement; Plein air; Sciences</t>
        </is>
      </c>
      <c r="J42" s="36" t="n"/>
      <c r="K42" s="42" t="inlineStr">
        <is>
          <t>Ouvrir</t>
        </is>
      </c>
      <c r="L42" s="38" t="n"/>
      <c r="M42" s="38" t="n"/>
      <c r="N42" s="39" t="n"/>
      <c r="O42" s="25" t="inlineStr">
        <is>
          <t>F</t>
        </is>
      </c>
      <c r="P42" s="25" t="inlineStr">
        <is>
          <t>L'asclepiade contre le duvet, et ce que les tests disent vraiment</t>
        </is>
      </c>
      <c r="Q42" s="25" t="inlineStr">
        <is>
          <t>Bonjour Jean-Francois,</t>
        </is>
      </c>
      <c r="R42" s="25" t="inlineStr">
        <is>
          <t>Adresse personnelle : individualiser vraiment</t>
        </is>
      </c>
      <c r="S42" s="46" t="inlineStr">
        <is>
          <t>Bonjour Jean-Francois,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43" ht="15" customHeight="1" s="26">
      <c r="A43" s="41" t="inlineStr">
        <is>
          <t>A</t>
        </is>
      </c>
      <c r="B43" s="36" t="inlineStr">
        <is>
          <t>Julie</t>
        </is>
      </c>
      <c r="C43" s="36" t="inlineStr">
        <is>
          <t>Leduc</t>
        </is>
      </c>
      <c r="D43" s="37" t="inlineStr">
        <is>
          <t>Journaliste</t>
        </is>
      </c>
      <c r="E43" s="36" t="inlineStr">
        <is>
          <t>Naître et Grandir</t>
        </is>
      </c>
      <c r="F43" s="36" t="inlineStr">
        <is>
          <t>julie.leduc@cgocable.ca</t>
        </is>
      </c>
      <c r="G43" s="36" t="n"/>
      <c r="H43" s="36" t="inlineStr">
        <is>
          <t>Montréal</t>
        </is>
      </c>
      <c r="I43" s="37" t="inlineStr">
        <is>
          <t>Art de vivre; Consommation; Environnement; Plein air</t>
        </is>
      </c>
      <c r="J43" s="36" t="n"/>
      <c r="K43" s="42" t="inlineStr">
        <is>
          <t>Ouvrir</t>
        </is>
      </c>
      <c r="L43" s="38" t="n"/>
      <c r="M43" s="38" t="n"/>
      <c r="N43" s="39" t="n"/>
      <c r="O43" s="25" t="inlineStr">
        <is>
          <t>F</t>
        </is>
      </c>
      <c r="P43" s="25" t="inlineStr">
        <is>
          <t>L'asclepiade contre le duvet, et ce que les tests disent vraiment</t>
        </is>
      </c>
      <c r="Q43" s="25" t="inlineStr">
        <is>
          <t>Bonjour Julie,</t>
        </is>
      </c>
      <c r="S43" s="46" t="inlineStr">
        <is>
          <t>Bonjour Julie,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44" ht="23.85" customHeight="1" s="26">
      <c r="A44" s="41" t="inlineStr">
        <is>
          <t>A</t>
        </is>
      </c>
      <c r="B44" s="36" t="inlineStr">
        <is>
          <t>Annie</t>
        </is>
      </c>
      <c r="C44" s="36" t="inlineStr">
        <is>
          <t>Martin</t>
        </is>
      </c>
      <c r="D44" s="37" t="inlineStr">
        <is>
          <t>journaliste</t>
        </is>
      </c>
      <c r="E44" s="36" t="inlineStr">
        <is>
          <t>Pigiste</t>
        </is>
      </c>
      <c r="F44" s="36" t="inlineStr">
        <is>
          <t>amartin@chga.fm</t>
        </is>
      </c>
      <c r="G44" s="36" t="inlineStr">
        <is>
          <t>8194499730</t>
        </is>
      </c>
      <c r="H44" s="36" t="inlineStr">
        <is>
          <t>Outaouais</t>
        </is>
      </c>
      <c r="I44" s="37" t="inlineStr">
        <is>
          <t>Agriculture; Consommation; Environnement; Plein air; Sciences; Économie</t>
        </is>
      </c>
      <c r="J44" s="36" t="n"/>
      <c r="K44" s="42" t="inlineStr">
        <is>
          <t>Ouvrir</t>
        </is>
      </c>
      <c r="L44" s="38" t="n"/>
      <c r="M44" s="38" t="n"/>
      <c r="N44" s="39" t="n"/>
      <c r="O44" s="25" t="inlineStr">
        <is>
          <t>C</t>
        </is>
      </c>
      <c r="P44" s="25" t="inlineStr">
        <is>
          <t>L'asclepiade, huit ans apres l'effondrement de la filiere</t>
        </is>
      </c>
      <c r="Q44" s="25" t="inlineStr">
        <is>
          <t>Bonjour Annie,</t>
        </is>
      </c>
      <c r="R44" s="25" t="inlineStr">
        <is>
          <t>Adresse personnelle : individualiser vraiment</t>
        </is>
      </c>
      <c r="S44" s="46" t="inlineStr">
        <is>
          <t>Bonjour Annie,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45" ht="23.85" customHeight="1" s="26">
      <c r="A45" s="41" t="inlineStr">
        <is>
          <t>A</t>
        </is>
      </c>
      <c r="B45" s="36" t="inlineStr">
        <is>
          <t>Réjean</t>
        </is>
      </c>
      <c r="C45" s="36" t="inlineStr">
        <is>
          <t>Martin</t>
        </is>
      </c>
      <c r="D45" s="37" t="inlineStr">
        <is>
          <t>Journaliste Le Bulletin des Chenaux</t>
        </is>
      </c>
      <c r="E45" s="36" t="inlineStr">
        <is>
          <t>Pigiste</t>
        </is>
      </c>
      <c r="F45" s="36" t="inlineStr">
        <is>
          <t>redaction.mekinac@lebulletindeschenaux.com</t>
        </is>
      </c>
      <c r="G45" s="36" t="inlineStr">
        <is>
          <t>418 507 1940</t>
        </is>
      </c>
      <c r="H45" s="36" t="inlineStr">
        <is>
          <t>Mauricie</t>
        </is>
      </c>
      <c r="I45" s="37" t="inlineStr">
        <is>
          <t>Agriculture; Consommation; Environnement; Plein air; Sciences; Économie</t>
        </is>
      </c>
      <c r="J45" s="36" t="n"/>
      <c r="K45" s="42" t="inlineStr">
        <is>
          <t>Ouvrir</t>
        </is>
      </c>
      <c r="L45" s="38" t="n"/>
      <c r="M45" s="38" t="n"/>
      <c r="N45" s="39" t="n"/>
      <c r="O45" s="25" t="inlineStr">
        <is>
          <t>C</t>
        </is>
      </c>
      <c r="P45" s="25" t="inlineStr">
        <is>
          <t>L'asclepiade, huit ans apres l'effondrement de la filiere</t>
        </is>
      </c>
      <c r="Q45" s="25" t="inlineStr">
        <is>
          <t>Bonjour Réjean,</t>
        </is>
      </c>
      <c r="R45" s="25" t="inlineStr">
        <is>
          <t>Adresse personnelle : individualiser vraiment</t>
        </is>
      </c>
      <c r="S45" s="46" t="inlineStr">
        <is>
          <t>Bonjour Réjean,
Vous couvrez Mékinac. C'est là que l'histoire industrielle de l'asclépiade au Québec
s'est jouée, et c'est là qu'elle s'est cassée : Les Industries Encore 3, à Saint-Tite,
achetaient 90 % des récoltes du Québec avant de faire faillite. Des producteurs de
votre secteur se sont retrouvés avec des champs et aucun acheteur.
On est l'entreprise qui a démarré après cet effondrement. Six ans plus tard, on achète
encore de l'asclépiade québécoise et on la transforme nous-mêmes à Québec.
le 17 septembre, Lasclay est dans le premier épisode de la 21e saison de Dragons' Den, sur CBC et CBC Gem. Je ne peux pas dire comment ça s'est terminé avant la diffusion.
Ce qui devrait intéresser vos lecteurs, ce n'est pas la télévision. C'est de savoir
s'il y a de nouveau un débouché pour la plante qui a fait tant de promesses dans
Mékinac. Ma réponse honnête : il y en a un, il est plus petit que ce qu'on avait promis
en 2014, et je ne peux garantir aucun volume à long terme. Je peux en parler
franchement.</t>
        </is>
      </c>
    </row>
    <row r="46" ht="15" customHeight="1" s="26">
      <c r="A46" s="41" t="inlineStr">
        <is>
          <t>A</t>
        </is>
      </c>
      <c r="B46" s="36" t="inlineStr">
        <is>
          <t>Charles</t>
        </is>
      </c>
      <c r="C46" s="36" t="inlineStr">
        <is>
          <t>Mathieu</t>
        </is>
      </c>
      <c r="D46" s="37" t="inlineStr">
        <is>
          <t>Journaliste de données</t>
        </is>
      </c>
      <c r="E46" s="36" t="inlineStr">
        <is>
          <t>Quebecor Média</t>
        </is>
      </c>
      <c r="F46" s="36" t="inlineStr">
        <is>
          <t>charles.mathieu@quebecormedia.com</t>
        </is>
      </c>
      <c r="G46" s="36" t="n"/>
      <c r="H46" s="36" t="inlineStr">
        <is>
          <t>Montréal</t>
        </is>
      </c>
      <c r="I46" s="37" t="inlineStr">
        <is>
          <t>Consommation; Environnement; Sciences; Économie</t>
        </is>
      </c>
      <c r="J46" s="36" t="n"/>
      <c r="K46" s="42" t="inlineStr">
        <is>
          <t>Ouvrir</t>
        </is>
      </c>
      <c r="L46" s="38" t="n"/>
      <c r="M46" s="38" t="n"/>
      <c r="N46" s="39" t="n"/>
      <c r="O46" s="25" t="inlineStr">
        <is>
          <t>D</t>
        </is>
      </c>
      <c r="P46" s="25" t="inlineStr">
        <is>
          <t>Le monarque, l'asclepiade, et l'idee qu'il faut la rendre payante</t>
        </is>
      </c>
      <c r="Q46" s="25" t="inlineStr">
        <is>
          <t>Bonjour Charles,</t>
        </is>
      </c>
      <c r="S46" s="46" t="inlineStr">
        <is>
          <t>Bonjour Charles,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47" ht="23.85" customHeight="1" s="26">
      <c r="A47" s="41" t="inlineStr">
        <is>
          <t>A</t>
        </is>
      </c>
      <c r="B47" s="36" t="inlineStr">
        <is>
          <t>Clara</t>
        </is>
      </c>
      <c r="C47" s="36" t="inlineStr">
        <is>
          <t>Matthey-Jonais</t>
        </is>
      </c>
      <c r="D47" s="37" t="inlineStr">
        <is>
          <t>Journaliste</t>
        </is>
      </c>
      <c r="E47" s="36" t="inlineStr">
        <is>
          <t>Pigiste</t>
        </is>
      </c>
      <c r="F47" s="36" t="inlineStr">
        <is>
          <t>journaliste@tvbl.qc.ca</t>
        </is>
      </c>
      <c r="G47" s="36" t="n"/>
      <c r="H47" s="36" t="inlineStr">
        <is>
          <t>Montréal</t>
        </is>
      </c>
      <c r="I47" s="37" t="inlineStr">
        <is>
          <t>Agriculture; Art de vivre; Consommation; Environnement; Plein air; Sciences; Économie</t>
        </is>
      </c>
      <c r="J47" s="36" t="n"/>
      <c r="K47" s="42" t="inlineStr">
        <is>
          <t>Ouvrir</t>
        </is>
      </c>
      <c r="L47" s="38" t="n"/>
      <c r="M47" s="38" t="n"/>
      <c r="N47" s="39" t="n"/>
      <c r="O47" s="25" t="inlineStr">
        <is>
          <t>C</t>
        </is>
      </c>
      <c r="P47" s="25" t="inlineStr">
        <is>
          <t>L'asclepiade, huit ans apres l'effondrement de la filiere</t>
        </is>
      </c>
      <c r="Q47" s="25" t="inlineStr">
        <is>
          <t>Bonjour Clara,</t>
        </is>
      </c>
      <c r="R47" s="25" t="inlineStr">
        <is>
          <t>Adresse personnelle : individualiser vraiment</t>
        </is>
      </c>
      <c r="S47" s="46" t="inlineStr">
        <is>
          <t>Bonjour Clara,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48" ht="15" customHeight="1" s="26">
      <c r="A48" s="41" t="inlineStr">
        <is>
          <t>A</t>
        </is>
      </c>
      <c r="B48" s="36" t="inlineStr">
        <is>
          <t>Valérian</t>
        </is>
      </c>
      <c r="C48" s="36" t="inlineStr">
        <is>
          <t>Mazataud</t>
        </is>
      </c>
      <c r="D48" s="37" t="inlineStr">
        <is>
          <t>Photojournaliste</t>
        </is>
      </c>
      <c r="E48" s="36" t="inlineStr">
        <is>
          <t>Le Devoir</t>
        </is>
      </c>
      <c r="F48" s="36" t="inlineStr">
        <is>
          <t>vmazataud@ledevoir.com</t>
        </is>
      </c>
      <c r="G48" s="36" t="inlineStr">
        <is>
          <t>514 985-3333</t>
        </is>
      </c>
      <c r="H48" s="36" t="inlineStr">
        <is>
          <t>Montréal</t>
        </is>
      </c>
      <c r="I48" s="37" t="inlineStr">
        <is>
          <t>Agriculture; Art de vivre; Environnement; Plein air; Sciences</t>
        </is>
      </c>
      <c r="J48" s="36" t="n"/>
      <c r="K48" s="42" t="inlineStr">
        <is>
          <t>Ouvrir</t>
        </is>
      </c>
      <c r="L48" s="38" t="n"/>
      <c r="M48" s="38" t="n"/>
      <c r="N48" s="39" t="n"/>
      <c r="O48" s="25" t="inlineStr">
        <is>
          <t>C</t>
        </is>
      </c>
      <c r="P48" s="25" t="inlineStr">
        <is>
          <t>L'asclepiade, huit ans apres l'effondrement de la filiere</t>
        </is>
      </c>
      <c r="Q48" s="25" t="inlineStr">
        <is>
          <t>Bonjour Valérian,</t>
        </is>
      </c>
      <c r="S48" s="46" t="inlineStr">
        <is>
          <t>Bonjour Valérian,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49" ht="15" customHeight="1" s="26">
      <c r="A49" s="41" t="inlineStr">
        <is>
          <t>A</t>
        </is>
      </c>
      <c r="B49" s="36" t="inlineStr">
        <is>
          <t>Lili</t>
        </is>
      </c>
      <c r="C49" s="36" t="inlineStr">
        <is>
          <t>Mercure</t>
        </is>
      </c>
      <c r="D49" s="37" t="inlineStr">
        <is>
          <t>Journaliste, télé et radio</t>
        </is>
      </c>
      <c r="E49" s="36" t="inlineStr">
        <is>
          <t>Noovo Info</t>
        </is>
      </c>
      <c r="F49" s="36" t="inlineStr">
        <is>
          <t>lili.mercure@bellmedia.ca</t>
        </is>
      </c>
      <c r="G49" s="36" t="inlineStr">
        <is>
          <t>438 880-3822</t>
        </is>
      </c>
      <c r="H49" s="36" t="inlineStr">
        <is>
          <t>Montréal</t>
        </is>
      </c>
      <c r="I49" s="37" t="inlineStr">
        <is>
          <t>Agriculture; Consommation; Environnement; Économie</t>
        </is>
      </c>
      <c r="J49" s="36" t="n"/>
      <c r="K49" s="42" t="inlineStr">
        <is>
          <t>Ouvrir</t>
        </is>
      </c>
      <c r="L49" s="38" t="n"/>
      <c r="M49" s="38" t="n"/>
      <c r="N49" s="39" t="n"/>
      <c r="O49" s="25" t="inlineStr">
        <is>
          <t>I</t>
        </is>
      </c>
      <c r="P49" s="25" t="inlineStr">
        <is>
          <t>Invite disponible : Lasclay a Dragons' Den le 17 septembre</t>
        </is>
      </c>
      <c r="Q49" s="25" t="inlineStr">
        <is>
          <t>Bonjour Lili,</t>
        </is>
      </c>
      <c r="S49" s="46" t="inlineStr">
        <is>
          <t>Bonjour Lili,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50" ht="15" customHeight="1" s="26">
      <c r="A50" s="41" t="inlineStr">
        <is>
          <t>A</t>
        </is>
      </c>
      <c r="B50" s="36" t="inlineStr">
        <is>
          <t>Nicolas</t>
        </is>
      </c>
      <c r="C50" s="36" t="inlineStr">
        <is>
          <t>Mesly</t>
        </is>
      </c>
      <c r="D50" s="37" t="inlineStr">
        <is>
          <t>Journaliste, chroniqueur, documentariste, agronome</t>
        </is>
      </c>
      <c r="E50" s="36" t="inlineStr">
        <is>
          <t>Pigiste</t>
        </is>
      </c>
      <c r="F50" s="36" t="inlineStr">
        <is>
          <t>nicolasmesly@gmail.com</t>
        </is>
      </c>
      <c r="G50" s="36" t="inlineStr">
        <is>
          <t>438 992 7727</t>
        </is>
      </c>
      <c r="H50" s="36" t="inlineStr">
        <is>
          <t>Montréal</t>
        </is>
      </c>
      <c r="I50" s="37" t="inlineStr">
        <is>
          <t>Agriculture; Environnement; Sciences; Économie</t>
        </is>
      </c>
      <c r="J50" s="36" t="n"/>
      <c r="K50" s="42" t="inlineStr">
        <is>
          <t>Ouvrir</t>
        </is>
      </c>
      <c r="L50" s="38" t="n"/>
      <c r="M50" s="38" t="n"/>
      <c r="N50" s="39" t="n"/>
      <c r="O50" s="25" t="inlineStr">
        <is>
          <t>C</t>
        </is>
      </c>
      <c r="P50" s="25" t="inlineStr">
        <is>
          <t>L'asclepiade, huit ans apres l'effondrement de la filiere</t>
        </is>
      </c>
      <c r="Q50" s="25" t="inlineStr">
        <is>
          <t>Bonjour Nicolas,</t>
        </is>
      </c>
      <c r="R50" s="25" t="inlineStr">
        <is>
          <t>Adresse personnelle : individualiser vraiment</t>
        </is>
      </c>
      <c r="S50" s="46" t="inlineStr">
        <is>
          <t>Bonjour Nicolas,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51" ht="23.85" customHeight="1" s="26">
      <c r="A51" s="41" t="inlineStr">
        <is>
          <t>A</t>
        </is>
      </c>
      <c r="B51" s="36" t="inlineStr">
        <is>
          <t>Nicolas</t>
        </is>
      </c>
      <c r="C51" s="36" t="inlineStr">
        <is>
          <t>Michaud</t>
        </is>
      </c>
      <c r="D51" s="37" t="inlineStr">
        <is>
          <t>Politologue, journaliste, réviseur linguistique et correcteur d'épreuves</t>
        </is>
      </c>
      <c r="E51" s="36" t="inlineStr">
        <is>
          <t>Pigiste</t>
        </is>
      </c>
      <c r="F51" s="36" t="inlineStr">
        <is>
          <t>nicolas.michaud.1@umontreal.ca</t>
        </is>
      </c>
      <c r="G51" s="36" t="inlineStr">
        <is>
          <t>450 602-2794</t>
        </is>
      </c>
      <c r="H51" s="36" t="inlineStr">
        <is>
          <t>Lanaudière</t>
        </is>
      </c>
      <c r="I51" s="37" t="inlineStr">
        <is>
          <t>Agriculture; Consommation; Environnement; Sciences; Économie</t>
        </is>
      </c>
      <c r="J51" s="36" t="n"/>
      <c r="K51" s="42" t="inlineStr">
        <is>
          <t>Ouvrir</t>
        </is>
      </c>
      <c r="L51" s="38" t="n"/>
      <c r="M51" s="38" t="n"/>
      <c r="N51" s="39" t="n"/>
      <c r="O51" s="25" t="inlineStr">
        <is>
          <t>C</t>
        </is>
      </c>
      <c r="P51" s="25" t="inlineStr">
        <is>
          <t>L'asclepiade, huit ans apres l'effondrement de la filiere</t>
        </is>
      </c>
      <c r="Q51" s="25" t="inlineStr">
        <is>
          <t>Bonjour Nicolas,</t>
        </is>
      </c>
      <c r="R51" s="25" t="inlineStr">
        <is>
          <t>Adresse personnelle : individualiser vraiment</t>
        </is>
      </c>
      <c r="S51" s="46" t="inlineStr">
        <is>
          <t>Bonjour Nicolas,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52" ht="15" customHeight="1" s="26">
      <c r="A52" s="41" t="inlineStr">
        <is>
          <t>A</t>
        </is>
      </c>
      <c r="B52" s="36" t="inlineStr">
        <is>
          <t>Véronique</t>
        </is>
      </c>
      <c r="C52" s="36" t="inlineStr">
        <is>
          <t>Morin</t>
        </is>
      </c>
      <c r="D52" s="37" t="inlineStr">
        <is>
          <t>Journaliste - productrice de contenu</t>
        </is>
      </c>
      <c r="E52" s="36" t="inlineStr">
        <is>
          <t>Quebecor Média</t>
        </is>
      </c>
      <c r="F52" s="36" t="inlineStr">
        <is>
          <t>veronique.morin@quebecormedia.com</t>
        </is>
      </c>
      <c r="G52" s="36" t="inlineStr">
        <is>
          <t>581-748-8094</t>
        </is>
      </c>
      <c r="H52" s="36" t="inlineStr">
        <is>
          <t>Capitale-Nationale/Chaudière-Appalaches</t>
        </is>
      </c>
      <c r="I52" s="37" t="inlineStr">
        <is>
          <t>Agriculture; Consommation; Environnement; Sciences</t>
        </is>
      </c>
      <c r="J52" s="36" t="n"/>
      <c r="K52" s="42" t="inlineStr">
        <is>
          <t>Ouvrir</t>
        </is>
      </c>
      <c r="L52" s="38" t="n"/>
      <c r="M52" s="38" t="n"/>
      <c r="N52" s="39" t="n"/>
      <c r="O52" s="25" t="inlineStr">
        <is>
          <t>C</t>
        </is>
      </c>
      <c r="P52" s="25" t="inlineStr">
        <is>
          <t>L'asclepiade, huit ans apres l'effondrement de la filiere</t>
        </is>
      </c>
      <c r="Q52" s="25" t="inlineStr">
        <is>
          <t>Bonjour Véronique,</t>
        </is>
      </c>
      <c r="S52" s="46" t="inlineStr">
        <is>
          <t>Bonjour Véronique,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53" ht="15" customHeight="1" s="26">
      <c r="A53" s="41" t="inlineStr">
        <is>
          <t>A</t>
        </is>
      </c>
      <c r="B53" s="36" t="inlineStr">
        <is>
          <t>Lila</t>
        </is>
      </c>
      <c r="C53" s="36" t="inlineStr">
        <is>
          <t>Mouch</t>
        </is>
      </c>
      <c r="D53" s="37" t="inlineStr">
        <is>
          <t>Journaliste</t>
        </is>
      </c>
      <c r="E53" s="36" t="inlineStr">
        <is>
          <t>Noovo Info</t>
        </is>
      </c>
      <c r="F53" s="36" t="inlineStr">
        <is>
          <t>lila.mouch@bellmedia.ca</t>
        </is>
      </c>
      <c r="G53" s="36" t="inlineStr">
        <is>
          <t>416 968-3536</t>
        </is>
      </c>
      <c r="H53" s="36" t="inlineStr">
        <is>
          <t>Montréal</t>
        </is>
      </c>
      <c r="I53" s="37" t="inlineStr">
        <is>
          <t>Agriculture; Consommation; Environnement; Économie</t>
        </is>
      </c>
      <c r="J53" s="36" t="n"/>
      <c r="K53" s="42" t="inlineStr">
        <is>
          <t>Ouvrir</t>
        </is>
      </c>
      <c r="L53" s="38" t="n"/>
      <c r="M53" s="38" t="n"/>
      <c r="N53" s="39" t="n"/>
      <c r="O53" s="25" t="inlineStr">
        <is>
          <t>I</t>
        </is>
      </c>
      <c r="P53" s="25" t="inlineStr">
        <is>
          <t>Invite disponible : Lasclay a Dragons' Den le 17 septembre</t>
        </is>
      </c>
      <c r="Q53" s="25" t="inlineStr">
        <is>
          <t>Bonjour Lila,</t>
        </is>
      </c>
      <c r="S53" s="46" t="inlineStr">
        <is>
          <t>Bonjour Lila,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54" ht="15" customHeight="1" s="26">
      <c r="A54" s="41" t="inlineStr">
        <is>
          <t>A</t>
        </is>
      </c>
      <c r="B54" s="36" t="inlineStr">
        <is>
          <t>Olivier</t>
        </is>
      </c>
      <c r="C54" s="36" t="inlineStr">
        <is>
          <t>Mougeot</t>
        </is>
      </c>
      <c r="D54" s="37" t="inlineStr">
        <is>
          <t>Journaliste</t>
        </is>
      </c>
      <c r="E54" s="36" t="inlineStr">
        <is>
          <t>Le Soleil</t>
        </is>
      </c>
      <c r="F54" s="36" t="inlineStr">
        <is>
          <t>omougeot@lesoleil.com</t>
        </is>
      </c>
      <c r="G54" s="36" t="n"/>
      <c r="H54" s="36" t="inlineStr">
        <is>
          <t>Capitale-Nationale/Chaudière-Appalaches</t>
        </is>
      </c>
      <c r="I54" s="37" t="inlineStr">
        <is>
          <t>Environnement; Économie</t>
        </is>
      </c>
      <c r="J54" s="36" t="n"/>
      <c r="K54" s="42" t="inlineStr">
        <is>
          <t>Ouvrir</t>
        </is>
      </c>
      <c r="L54" s="38" t="n"/>
      <c r="M54" s="38" t="n"/>
      <c r="N54" s="39" t="n"/>
      <c r="O54" s="25" t="inlineStr">
        <is>
          <t>B</t>
        </is>
      </c>
      <c r="P54" s="25" t="inlineStr">
        <is>
          <t>Capitale-Nationale/Chaudière-Appalaches : Lasclay au premier episode de la 21e saison de Dragons' Den</t>
        </is>
      </c>
      <c r="Q54" s="25" t="inlineStr">
        <is>
          <t>Bonjour Olivier,</t>
        </is>
      </c>
      <c r="S54" s="46" t="inlineStr">
        <is>
          <t>Bonjour Olivier,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55" ht="23.85" customHeight="1" s="26">
      <c r="A55" s="41" t="inlineStr">
        <is>
          <t>A</t>
        </is>
      </c>
      <c r="B55" s="36" t="inlineStr">
        <is>
          <t>Emmanuelle</t>
        </is>
      </c>
      <c r="C55" s="36" t="inlineStr">
        <is>
          <t>Mozayan-Verschaeve</t>
        </is>
      </c>
      <c r="D55" s="37" t="inlineStr">
        <is>
          <t>Journaliste</t>
        </is>
      </c>
      <c r="E55" s="36" t="inlineStr">
        <is>
          <t>Pigiste</t>
        </is>
      </c>
      <c r="F55" s="36" t="inlineStr">
        <is>
          <t>ecritsur@gmail.com</t>
        </is>
      </c>
      <c r="G55" s="36" t="inlineStr">
        <is>
          <t>8194342768</t>
        </is>
      </c>
      <c r="H55" s="36" t="inlineStr">
        <is>
          <t>Laurentides</t>
        </is>
      </c>
      <c r="I55" s="37" t="inlineStr">
        <is>
          <t>Art de vivre; Environnement; Mode et beauté; Plein air; Économie</t>
        </is>
      </c>
      <c r="J55" s="36" t="n"/>
      <c r="K55" s="42" t="inlineStr">
        <is>
          <t>Ouvrir</t>
        </is>
      </c>
      <c r="L55" s="38" t="n"/>
      <c r="M55" s="38" t="n"/>
      <c r="N55" s="39" t="n"/>
      <c r="O55" s="25" t="inlineStr">
        <is>
          <t>F</t>
        </is>
      </c>
      <c r="P55" s="25" t="inlineStr">
        <is>
          <t>L'asclepiade contre le duvet, et ce que les tests disent vraiment</t>
        </is>
      </c>
      <c r="Q55" s="25" t="inlineStr">
        <is>
          <t>Bonjour Emmanuelle,</t>
        </is>
      </c>
      <c r="R55" s="25" t="inlineStr">
        <is>
          <t>Adresse personnelle : individualiser vraiment</t>
        </is>
      </c>
      <c r="S55" s="46" t="inlineStr">
        <is>
          <t>Bonjour Emmanuelle,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56" ht="15" customHeight="1" s="26">
      <c r="A56" s="41" t="inlineStr">
        <is>
          <t>A</t>
        </is>
      </c>
      <c r="B56" s="36" t="inlineStr">
        <is>
          <t>Jean-Benoît</t>
        </is>
      </c>
      <c r="C56" s="36" t="inlineStr">
        <is>
          <t>Nadeau</t>
        </is>
      </c>
      <c r="D56" s="37" t="inlineStr">
        <is>
          <t>Journaliste et chroniqueur</t>
        </is>
      </c>
      <c r="E56" s="36" t="inlineStr">
        <is>
          <t>L’actualité</t>
        </is>
      </c>
      <c r="F56" s="36" t="inlineStr">
        <is>
          <t>jean-benoit@nadeaubarlow.com</t>
        </is>
      </c>
      <c r="G56" s="36" t="inlineStr">
        <is>
          <t>514-728-0357</t>
        </is>
      </c>
      <c r="H56" s="36" t="inlineStr">
        <is>
          <t>Montréal</t>
        </is>
      </c>
      <c r="I56" s="37" t="inlineStr">
        <is>
          <t>Environnement; Plein air; Sciences; Économie</t>
        </is>
      </c>
      <c r="J56" s="36" t="n"/>
      <c r="K56" s="42" t="inlineStr">
        <is>
          <t>Ouvrir</t>
        </is>
      </c>
      <c r="L56" s="38" t="n"/>
      <c r="M56" s="38" t="n"/>
      <c r="N56" s="39" t="n"/>
      <c r="O56" s="25" t="inlineStr">
        <is>
          <t>F</t>
        </is>
      </c>
      <c r="P56" s="25" t="inlineStr">
        <is>
          <t>L'asclepiade contre le duvet, et ce que les tests disent vraiment</t>
        </is>
      </c>
      <c r="Q56" s="25" t="inlineStr">
        <is>
          <t>Bonjour Jean-Benoît,</t>
        </is>
      </c>
      <c r="S56" s="46" t="inlineStr">
        <is>
          <t>Bonjour Jean-Benoît,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57" ht="15" customHeight="1" s="26">
      <c r="A57" s="41" t="inlineStr">
        <is>
          <t>A</t>
        </is>
      </c>
      <c r="B57" s="36" t="inlineStr">
        <is>
          <t>Yves</t>
        </is>
      </c>
      <c r="C57" s="36" t="inlineStr">
        <is>
          <t>Ouellet</t>
        </is>
      </c>
      <c r="D57" s="37" t="inlineStr">
        <is>
          <t>Journaliste, blogueur et photographe</t>
        </is>
      </c>
      <c r="E57" s="36" t="inlineStr">
        <is>
          <t>Pigiste</t>
        </is>
      </c>
      <c r="F57" s="36" t="inlineStr">
        <is>
          <t>y.ouellet@videotron.ca</t>
        </is>
      </c>
      <c r="G57" s="36" t="inlineStr">
        <is>
          <t>4185456952</t>
        </is>
      </c>
      <c r="H57" s="36" t="inlineStr">
        <is>
          <t>Capitale-Nationale/Chaudière-Appalaches</t>
        </is>
      </c>
      <c r="I57" s="37" t="inlineStr">
        <is>
          <t>Plein air</t>
        </is>
      </c>
      <c r="J57" s="36" t="n"/>
      <c r="K57" s="42" t="inlineStr">
        <is>
          <t>Ouvrir</t>
        </is>
      </c>
      <c r="L57" s="38" t="n"/>
      <c r="M57" s="38" t="n"/>
      <c r="N57" s="39" t="n"/>
      <c r="O57" s="25" t="inlineStr">
        <is>
          <t>F</t>
        </is>
      </c>
      <c r="P57" s="25" t="inlineStr">
        <is>
          <t>L'asclepiade contre le duvet, et ce que les tests disent vraiment</t>
        </is>
      </c>
      <c r="Q57" s="25" t="inlineStr">
        <is>
          <t>Bonjour Yves,</t>
        </is>
      </c>
      <c r="R57" s="25" t="inlineStr">
        <is>
          <t>Adresse personnelle : individualiser vraiment</t>
        </is>
      </c>
      <c r="S57" s="46" t="inlineStr">
        <is>
          <t>Bonjour Yves,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58" ht="23.85" customHeight="1" s="26">
      <c r="A58" s="41" t="inlineStr">
        <is>
          <t>A</t>
        </is>
      </c>
      <c r="B58" s="36" t="inlineStr">
        <is>
          <t>Josée</t>
        </is>
      </c>
      <c r="C58" s="36" t="inlineStr">
        <is>
          <t>Panet-Raymond</t>
        </is>
      </c>
      <c r="D58" s="37" t="inlineStr">
        <is>
          <t>Journaliste</t>
        </is>
      </c>
      <c r="E58" s="36" t="inlineStr">
        <is>
          <t>Pigiste</t>
        </is>
      </c>
      <c r="F58" s="36" t="inlineStr">
        <is>
          <t>jopanray@videotron.ca</t>
        </is>
      </c>
      <c r="G58" s="36" t="inlineStr">
        <is>
          <t>438 944-1541</t>
        </is>
      </c>
      <c r="H58" s="36" t="inlineStr">
        <is>
          <t>Laval</t>
        </is>
      </c>
      <c r="I58" s="37" t="inlineStr">
        <is>
          <t>Agriculture; Art de vivre; Consommation; Environnement; Sciences; Économie</t>
        </is>
      </c>
      <c r="J58" s="36" t="n"/>
      <c r="K58" s="42" t="inlineStr">
        <is>
          <t>Ouvrir</t>
        </is>
      </c>
      <c r="L58" s="38" t="n"/>
      <c r="M58" s="38" t="n"/>
      <c r="N58" s="39" t="n"/>
      <c r="O58" s="25" t="inlineStr">
        <is>
          <t>C</t>
        </is>
      </c>
      <c r="P58" s="25" t="inlineStr">
        <is>
          <t>L'asclepiade, huit ans apres l'effondrement de la filiere</t>
        </is>
      </c>
      <c r="Q58" s="25" t="inlineStr">
        <is>
          <t>Bonjour Josée,</t>
        </is>
      </c>
      <c r="R58" s="25" t="inlineStr">
        <is>
          <t>Adresse personnelle : individualiser vraiment</t>
        </is>
      </c>
      <c r="S58" s="46" t="inlineStr">
        <is>
          <t>Bonjour Josée,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59" ht="23.85" customHeight="1" s="26">
      <c r="A59" s="41" t="inlineStr">
        <is>
          <t>A</t>
        </is>
      </c>
      <c r="B59" s="36" t="inlineStr">
        <is>
          <t>Yannick</t>
        </is>
      </c>
      <c r="C59" s="36" t="inlineStr">
        <is>
          <t>Patelli</t>
        </is>
      </c>
      <c r="D59" s="37" t="inlineStr">
        <is>
          <t>Editeur et directeur général</t>
        </is>
      </c>
      <c r="E59" s="36" t="inlineStr">
        <is>
          <t>Pigiste</t>
        </is>
      </c>
      <c r="F59" s="36" t="inlineStr">
        <is>
          <t>ypatelli@lavieagricole.com</t>
        </is>
      </c>
      <c r="G59" s="36" t="n"/>
      <c r="H59" s="36" t="inlineStr">
        <is>
          <t>Capitale-Nationale/Chaudière-Appalaches</t>
        </is>
      </c>
      <c r="I59" s="37" t="inlineStr">
        <is>
          <t>Agriculture; Consommation; Environnement; Plein air; Sciences; Économie</t>
        </is>
      </c>
      <c r="J59" s="36" t="n"/>
      <c r="K59" s="42" t="inlineStr">
        <is>
          <t>Ouvrir</t>
        </is>
      </c>
      <c r="L59" s="38" t="n"/>
      <c r="M59" s="38" t="n"/>
      <c r="N59" s="39" t="n"/>
      <c r="O59" s="25" t="inlineStr">
        <is>
          <t>C</t>
        </is>
      </c>
      <c r="P59" s="25" t="inlineStr">
        <is>
          <t>L'asclepiade, huit ans apres l'effondrement de la filiere</t>
        </is>
      </c>
      <c r="Q59" s="25" t="inlineStr">
        <is>
          <t>Bonjour Yannick,</t>
        </is>
      </c>
      <c r="R59" s="25" t="inlineStr">
        <is>
          <t>Adresse personnelle : individualiser vraiment</t>
        </is>
      </c>
      <c r="S59" s="46" t="inlineStr">
        <is>
          <t>Bonjour Yannick,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60" ht="15" customHeight="1" s="26">
      <c r="A60" s="41" t="inlineStr">
        <is>
          <t>A</t>
        </is>
      </c>
      <c r="B60" s="36" t="inlineStr">
        <is>
          <t>Félix</t>
        </is>
      </c>
      <c r="C60" s="36" t="inlineStr">
        <is>
          <t>Pedneault</t>
        </is>
      </c>
      <c r="D60" s="37" t="inlineStr">
        <is>
          <t>Journaliste multimedia</t>
        </is>
      </c>
      <c r="E60" s="36" t="inlineStr">
        <is>
          <t>Le Devoir</t>
        </is>
      </c>
      <c r="F60" s="36" t="inlineStr">
        <is>
          <t>felix.pedneault21@gmail.com</t>
        </is>
      </c>
      <c r="G60" s="36" t="inlineStr">
        <is>
          <t>514 985-3333</t>
        </is>
      </c>
      <c r="H60" s="36" t="inlineStr">
        <is>
          <t>Montréal</t>
        </is>
      </c>
      <c r="I60" s="37" t="inlineStr">
        <is>
          <t>Consommation; Environnement; Économie</t>
        </is>
      </c>
      <c r="J60" s="36" t="n"/>
      <c r="K60" s="42" t="inlineStr">
        <is>
          <t>Ouvrir</t>
        </is>
      </c>
      <c r="L60" s="38" t="n"/>
      <c r="M60" s="38" t="n"/>
      <c r="N60" s="39" t="n"/>
      <c r="O60" s="25" t="inlineStr">
        <is>
          <t>D</t>
        </is>
      </c>
      <c r="P60" s="25" t="inlineStr">
        <is>
          <t>Le monarque, l'asclepiade, et l'idee qu'il faut la rendre payante</t>
        </is>
      </c>
      <c r="Q60" s="25" t="inlineStr">
        <is>
          <t>Bonjour Félix,</t>
        </is>
      </c>
      <c r="R60" s="25" t="inlineStr">
        <is>
          <t>Adresse personnelle : individualiser vraiment</t>
        </is>
      </c>
      <c r="S60" s="46" t="inlineStr">
        <is>
          <t>Bonjour Félix,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61" ht="23.85" customHeight="1" s="26">
      <c r="A61" s="41" t="inlineStr">
        <is>
          <t>A</t>
        </is>
      </c>
      <c r="B61" s="36" t="inlineStr">
        <is>
          <t>Marie-Eve</t>
        </is>
      </c>
      <c r="C61" s="36" t="inlineStr">
        <is>
          <t>Poulin</t>
        </is>
      </c>
      <c r="D61" s="37" t="inlineStr">
        <is>
          <t>Journaliste</t>
        </is>
      </c>
      <c r="E61" s="36" t="inlineStr">
        <is>
          <t>Pigiste</t>
        </is>
      </c>
      <c r="F61" s="36" t="inlineStr">
        <is>
          <t>mepoulin@lenord-cotier.com</t>
        </is>
      </c>
      <c r="G61" s="36" t="inlineStr">
        <is>
          <t>418-960-2090</t>
        </is>
      </c>
      <c r="H61" s="36" t="inlineStr">
        <is>
          <t>Est-du-Québec</t>
        </is>
      </c>
      <c r="I61" s="37" t="inlineStr">
        <is>
          <t>Art de vivre; Consommation; Environnement; Plein air; Sciences; Économie</t>
        </is>
      </c>
      <c r="J61" s="36" t="n"/>
      <c r="K61" s="42" t="inlineStr">
        <is>
          <t>Ouvrir</t>
        </is>
      </c>
      <c r="L61" s="38" t="n"/>
      <c r="M61" s="38" t="n"/>
      <c r="N61" s="39" t="n"/>
      <c r="O61" s="25" t="inlineStr">
        <is>
          <t>F</t>
        </is>
      </c>
      <c r="P61" s="25" t="inlineStr">
        <is>
          <t>L'asclepiade contre le duvet, et ce que les tests disent vraiment</t>
        </is>
      </c>
      <c r="Q61" s="25" t="inlineStr">
        <is>
          <t>Bonjour Marie-Eve,</t>
        </is>
      </c>
      <c r="R61" s="25" t="inlineStr">
        <is>
          <t>Adresse personnelle : individualiser vraiment</t>
        </is>
      </c>
      <c r="S61" s="46" t="inlineStr">
        <is>
          <t>Bonjour Marie-Eve,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62" ht="15" customHeight="1" s="26">
      <c r="A62" s="41" t="inlineStr">
        <is>
          <t>A</t>
        </is>
      </c>
      <c r="B62" s="36" t="inlineStr">
        <is>
          <t>Marie-Hélène</t>
        </is>
      </c>
      <c r="C62" s="36" t="inlineStr">
        <is>
          <t>Proulx</t>
        </is>
      </c>
      <c r="D62" s="37" t="inlineStr">
        <is>
          <t>Journaliste</t>
        </is>
      </c>
      <c r="E62" s="36" t="inlineStr">
        <is>
          <t>L’actualité</t>
        </is>
      </c>
      <c r="F62" s="36" t="inlineStr">
        <is>
          <t>mhproulx@lactualite.com</t>
        </is>
      </c>
      <c r="G62" s="36" t="inlineStr">
        <is>
          <t>5146292135</t>
        </is>
      </c>
      <c r="H62" s="36" t="inlineStr">
        <is>
          <t>Montréal</t>
        </is>
      </c>
      <c r="I62" s="37" t="inlineStr">
        <is>
          <t>Agriculture; Consommation; Économie</t>
        </is>
      </c>
      <c r="J62" s="36" t="n"/>
      <c r="K62" s="42" t="inlineStr">
        <is>
          <t>Ouvrir</t>
        </is>
      </c>
      <c r="L62" s="38" t="n"/>
      <c r="M62" s="38" t="n"/>
      <c r="N62" s="39" t="n"/>
      <c r="O62" s="25" t="inlineStr">
        <is>
          <t>C</t>
        </is>
      </c>
      <c r="P62" s="25" t="inlineStr">
        <is>
          <t>L'asclepiade, huit ans apres l'effondrement de la filiere</t>
        </is>
      </c>
      <c r="Q62" s="25" t="inlineStr">
        <is>
          <t>Bonjour Marie-Hélène,</t>
        </is>
      </c>
      <c r="S62" s="46" t="inlineStr">
        <is>
          <t>Bonjour Marie-Hélène,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63" ht="15" customHeight="1" s="26">
      <c r="A63" s="41" t="inlineStr">
        <is>
          <t>A</t>
        </is>
      </c>
      <c r="B63" s="36" t="inlineStr">
        <is>
          <t>Jean-Hugues</t>
        </is>
      </c>
      <c r="C63" s="36" t="inlineStr">
        <is>
          <t>Roy</t>
        </is>
      </c>
      <c r="D63" s="37" t="inlineStr">
        <is>
          <t>Professeur</t>
        </is>
      </c>
      <c r="E63" s="36" t="inlineStr">
        <is>
          <t>Université du Québec à Montréal</t>
        </is>
      </c>
      <c r="F63" s="36" t="inlineStr">
        <is>
          <t>jh@jhroy.ca</t>
        </is>
      </c>
      <c r="G63" s="36" t="inlineStr">
        <is>
          <t>5147786102</t>
        </is>
      </c>
      <c r="H63" s="36" t="inlineStr">
        <is>
          <t>Laurentides</t>
        </is>
      </c>
      <c r="I63" s="37" t="inlineStr">
        <is>
          <t>Environnement; Sciences; Économie</t>
        </is>
      </c>
      <c r="J63" s="36" t="n"/>
      <c r="K63" s="42" t="inlineStr">
        <is>
          <t>Ouvrir</t>
        </is>
      </c>
      <c r="L63" s="38" t="n"/>
      <c r="M63" s="38" t="n"/>
      <c r="N63" s="39" t="n"/>
      <c r="O63" s="25" t="inlineStr">
        <is>
          <t>B</t>
        </is>
      </c>
      <c r="P63" s="25" t="inlineStr">
        <is>
          <t>Laurentides : Lasclay au premier episode de la 21e saison de Dragons' Den</t>
        </is>
      </c>
      <c r="Q63" s="25" t="inlineStr">
        <is>
          <t>Bonjour Jean-Hugues,</t>
        </is>
      </c>
      <c r="S63" s="46" t="inlineStr">
        <is>
          <t>Bonjour Jean-Hugues,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64" ht="15" customHeight="1" s="26">
      <c r="A64" s="41" t="inlineStr">
        <is>
          <t>A</t>
        </is>
      </c>
      <c r="B64" s="36" t="inlineStr">
        <is>
          <t>Martin</t>
        </is>
      </c>
      <c r="C64" s="36" t="inlineStr">
        <is>
          <t>Roy</t>
        </is>
      </c>
      <c r="D64" s="37" t="inlineStr">
        <is>
          <t>Caméraman/Photographe</t>
        </is>
      </c>
      <c r="E64" s="36" t="inlineStr">
        <is>
          <t>Université Laval</t>
        </is>
      </c>
      <c r="F64" s="36" t="inlineStr">
        <is>
          <t>martin.roy@uc.ulaval.ca</t>
        </is>
      </c>
      <c r="G64" s="36" t="inlineStr">
        <is>
          <t>418-656-2131 poste 404579</t>
        </is>
      </c>
      <c r="H64" s="36" t="inlineStr">
        <is>
          <t>Capitale-Nationale/Chaudière-Appalaches</t>
        </is>
      </c>
      <c r="I64" s="37" t="inlineStr">
        <is>
          <t>Agriculture; Environnement; Sciences</t>
        </is>
      </c>
      <c r="J64" s="36" t="n"/>
      <c r="K64" s="42" t="inlineStr">
        <is>
          <t>Ouvrir</t>
        </is>
      </c>
      <c r="L64" s="38" t="n"/>
      <c r="M64" s="38" t="n"/>
      <c r="N64" s="39" t="n"/>
      <c r="O64" s="25" t="inlineStr">
        <is>
          <t>B</t>
        </is>
      </c>
      <c r="P64" s="25" t="inlineStr">
        <is>
          <t>Capitale-Nationale/Chaudière-Appalaches : Lasclay au premier episode de la 21e saison de Dragons' Den</t>
        </is>
      </c>
      <c r="Q64" s="25" t="inlineStr">
        <is>
          <t>Bonjour Martin,</t>
        </is>
      </c>
      <c r="S64" s="46" t="inlineStr">
        <is>
          <t>Bonjour Martin,
Notre atelier est dans Limoilou, et c'est là que la soie d'asclépiade devient de l'isolant. C'est la seule étape qu'on a refusé de délocaliser.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65" ht="23.85" customHeight="1" s="26">
      <c r="A65" s="41" t="inlineStr">
        <is>
          <t>A</t>
        </is>
      </c>
      <c r="B65" s="36" t="inlineStr">
        <is>
          <t>Sylvain</t>
        </is>
      </c>
      <c r="C65" s="36" t="inlineStr">
        <is>
          <t>Sarrazin</t>
        </is>
      </c>
      <c r="D65" s="37" t="inlineStr">
        <is>
          <t>Reporter</t>
        </is>
      </c>
      <c r="E65" s="36" t="inlineStr">
        <is>
          <t>La Presse</t>
        </is>
      </c>
      <c r="F65" s="36" t="inlineStr">
        <is>
          <t>ssarrazin@lapresse.ca</t>
        </is>
      </c>
      <c r="G65" s="36" t="inlineStr">
        <is>
          <t>514 285-7000</t>
        </is>
      </c>
      <c r="H65" s="36" t="inlineStr">
        <is>
          <t>Montréal</t>
        </is>
      </c>
      <c r="I65" s="37" t="inlineStr">
        <is>
          <t>Art de vivre; Consommation; Mode et beauté; Plein air; Sciences</t>
        </is>
      </c>
      <c r="J65" s="36" t="n"/>
      <c r="K65" s="42" t="inlineStr">
        <is>
          <t>Ouvrir</t>
        </is>
      </c>
      <c r="L65" s="38" t="n"/>
      <c r="M65" s="38" t="n"/>
      <c r="N65" s="39" t="n"/>
      <c r="O65" s="25" t="inlineStr">
        <is>
          <t>F</t>
        </is>
      </c>
      <c r="P65" s="25" t="inlineStr">
        <is>
          <t>L'asclepiade contre le duvet, et ce que les tests disent vraiment</t>
        </is>
      </c>
      <c r="Q65" s="25" t="inlineStr">
        <is>
          <t>Bonjour Sylvain,</t>
        </is>
      </c>
      <c r="S65" s="46" t="inlineStr">
        <is>
          <t>Bonjour Sylvain,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66" ht="15" customHeight="1" s="26">
      <c r="A66" s="41" t="inlineStr">
        <is>
          <t>A</t>
        </is>
      </c>
      <c r="B66" s="36" t="inlineStr">
        <is>
          <t>Pierre</t>
        </is>
      </c>
      <c r="C66" s="36" t="inlineStr">
        <is>
          <t>Sormany</t>
        </is>
      </c>
      <c r="D66" s="37" t="inlineStr">
        <is>
          <t>Journaliste, producteur et scénariste documentaire.</t>
        </is>
      </c>
      <c r="E66" s="36" t="inlineStr">
        <is>
          <t>Pigiste</t>
        </is>
      </c>
      <c r="F66" s="36" t="inlineStr">
        <is>
          <t>sormanyp@gmail.com</t>
        </is>
      </c>
      <c r="G66" s="36" t="inlineStr">
        <is>
          <t>514-525-7208</t>
        </is>
      </c>
      <c r="H66" s="36" t="inlineStr">
        <is>
          <t>Montréal</t>
        </is>
      </c>
      <c r="I66" s="37" t="inlineStr">
        <is>
          <t>Environnement; Plein air; Sciences; Économie</t>
        </is>
      </c>
      <c r="J66" s="36" t="n"/>
      <c r="K66" s="42" t="inlineStr">
        <is>
          <t>Ouvrir</t>
        </is>
      </c>
      <c r="L66" s="38" t="n"/>
      <c r="M66" s="38" t="n"/>
      <c r="N66" s="39" t="n"/>
      <c r="O66" s="25" t="inlineStr">
        <is>
          <t>F</t>
        </is>
      </c>
      <c r="P66" s="25" t="inlineStr">
        <is>
          <t>L'asclepiade contre le duvet, et ce que les tests disent vraiment</t>
        </is>
      </c>
      <c r="Q66" s="25" t="inlineStr">
        <is>
          <t>Bonjour Pierre,</t>
        </is>
      </c>
      <c r="R66" s="25" t="inlineStr">
        <is>
          <t>Adresse personnelle : individualiser vraiment</t>
        </is>
      </c>
      <c r="S66" s="46" t="inlineStr">
        <is>
          <t>Bonjour Pierre,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67" ht="15" customHeight="1" s="26">
      <c r="A67" s="41" t="inlineStr">
        <is>
          <t>A</t>
        </is>
      </c>
      <c r="B67" s="36" t="inlineStr">
        <is>
          <t>Scott</t>
        </is>
      </c>
      <c r="C67" s="36" t="inlineStr">
        <is>
          <t>Stevenson</t>
        </is>
      </c>
      <c r="D67" s="37" t="inlineStr">
        <is>
          <t>Directeur général</t>
        </is>
      </c>
      <c r="E67" s="36" t="inlineStr">
        <is>
          <t>Pigiste</t>
        </is>
      </c>
      <c r="F67" s="36" t="inlineStr">
        <is>
          <t>direction@journalhsf.com</t>
        </is>
      </c>
      <c r="G67" s="36" t="inlineStr">
        <is>
          <t>819-875-5501</t>
        </is>
      </c>
      <c r="H67" s="36" t="inlineStr">
        <is>
          <t>Estrie</t>
        </is>
      </c>
      <c r="I67" s="37" t="inlineStr">
        <is>
          <t>Agriculture; Environnement; Économie</t>
        </is>
      </c>
      <c r="J67" s="36" t="n"/>
      <c r="K67" s="42" t="inlineStr">
        <is>
          <t>Ouvrir</t>
        </is>
      </c>
      <c r="L67" s="38" t="n"/>
      <c r="M67" s="38" t="n"/>
      <c r="N67" s="39" t="n"/>
      <c r="O67" s="25" t="inlineStr">
        <is>
          <t>C</t>
        </is>
      </c>
      <c r="P67" s="25" t="inlineStr">
        <is>
          <t>L'asclepiade, huit ans apres l'effondrement de la filiere</t>
        </is>
      </c>
      <c r="Q67" s="25" t="inlineStr">
        <is>
          <t>Bonjour Scott,</t>
        </is>
      </c>
      <c r="R67" s="25" t="inlineStr">
        <is>
          <t>Adresse personnelle : individualiser vraiment</t>
        </is>
      </c>
      <c r="S67" s="46" t="inlineStr">
        <is>
          <t>Bonjour Scott,
Une des usines de transformation de l'asclépiade était à Granby. Elle a fermé avec le reste de la filière, et l'Estrie compte encore des producteurs de la plante.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68" ht="15" customHeight="1" s="26">
      <c r="A68" s="41" t="inlineStr">
        <is>
          <t>A</t>
        </is>
      </c>
      <c r="B68" s="36" t="inlineStr">
        <is>
          <t>Michèle</t>
        </is>
      </c>
      <c r="C68" s="36" t="inlineStr">
        <is>
          <t>Tanganika</t>
        </is>
      </c>
      <c r="D68" s="37" t="inlineStr">
        <is>
          <t>journaliste</t>
        </is>
      </c>
      <c r="E68" s="36" t="inlineStr">
        <is>
          <t>Pigiste</t>
        </is>
      </c>
      <c r="F68" s="36" t="inlineStr">
        <is>
          <t>mtanganika@chga.fm</t>
        </is>
      </c>
      <c r="G68" s="36" t="inlineStr">
        <is>
          <t>8194499730</t>
        </is>
      </c>
      <c r="H68" s="36" t="inlineStr">
        <is>
          <t>Outaouais</t>
        </is>
      </c>
      <c r="I68" s="37" t="inlineStr">
        <is>
          <t>Agriculture; Environnement; Plein air; Sciences; Économie</t>
        </is>
      </c>
      <c r="J68" s="36" t="n"/>
      <c r="K68" s="42" t="inlineStr">
        <is>
          <t>Ouvrir</t>
        </is>
      </c>
      <c r="L68" s="38" t="n"/>
      <c r="M68" s="38" t="n"/>
      <c r="N68" s="39" t="n"/>
      <c r="O68" s="25" t="inlineStr">
        <is>
          <t>C</t>
        </is>
      </c>
      <c r="P68" s="25" t="inlineStr">
        <is>
          <t>L'asclepiade, huit ans apres l'effondrement de la filiere</t>
        </is>
      </c>
      <c r="Q68" s="25" t="inlineStr">
        <is>
          <t>Bonjour Michèle,</t>
        </is>
      </c>
      <c r="R68" s="25" t="inlineStr">
        <is>
          <t>Adresse personnelle : individualiser vraiment</t>
        </is>
      </c>
      <c r="S68" s="46" t="inlineStr">
        <is>
          <t>Bonjour Michèle,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69" ht="15" customHeight="1" s="26">
      <c r="A69" s="41" t="inlineStr">
        <is>
          <t>A</t>
        </is>
      </c>
      <c r="B69" s="36" t="inlineStr">
        <is>
          <t>Stephane</t>
        </is>
      </c>
      <c r="C69" s="36" t="inlineStr">
        <is>
          <t>Tellier</t>
        </is>
      </c>
      <c r="D69" s="37" t="inlineStr">
        <is>
          <t>Animateur-journaliste pigiste</t>
        </is>
      </c>
      <c r="E69" s="36" t="inlineStr">
        <is>
          <t>SUMMUM</t>
        </is>
      </c>
      <c r="F69" s="36" t="inlineStr">
        <is>
          <t>bourlingueurstephanetellier@gmail.com</t>
        </is>
      </c>
      <c r="G69" s="36" t="inlineStr">
        <is>
          <t>5145493872</t>
        </is>
      </c>
      <c r="H69" s="36" t="inlineStr">
        <is>
          <t>Montréal</t>
        </is>
      </c>
      <c r="I69" s="37" t="inlineStr">
        <is>
          <t>Art de vivre; Environnement; Plein air; Économie</t>
        </is>
      </c>
      <c r="J69" s="36" t="n"/>
      <c r="K69" s="42" t="inlineStr">
        <is>
          <t>Ouvrir</t>
        </is>
      </c>
      <c r="L69" s="38" t="n"/>
      <c r="M69" s="38" t="n"/>
      <c r="N69" s="39" t="n"/>
      <c r="O69" s="25" t="inlineStr">
        <is>
          <t>I</t>
        </is>
      </c>
      <c r="P69" s="25" t="inlineStr">
        <is>
          <t>Invite disponible : Lasclay a Dragons' Den le 17 septembre</t>
        </is>
      </c>
      <c r="Q69" s="25" t="inlineStr">
        <is>
          <t>Bonjour Stephane,</t>
        </is>
      </c>
      <c r="R69" s="25" t="inlineStr">
        <is>
          <t>Adresse personnelle : individualiser vraiment</t>
        </is>
      </c>
      <c r="S69" s="46" t="inlineStr">
        <is>
          <t>Bonjour Stephane,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70" ht="15" customHeight="1" s="26">
      <c r="A70" s="41" t="inlineStr">
        <is>
          <t>A</t>
        </is>
      </c>
      <c r="B70" s="36" t="inlineStr">
        <is>
          <t>Karine</t>
        </is>
      </c>
      <c r="C70" s="36" t="inlineStr">
        <is>
          <t>Tremblay</t>
        </is>
      </c>
      <c r="D70" s="37" t="inlineStr">
        <is>
          <t>Journaliste et chroniqueuse</t>
        </is>
      </c>
      <c r="E70" s="36" t="inlineStr">
        <is>
          <t>La Tribune</t>
        </is>
      </c>
      <c r="F70" s="36" t="inlineStr">
        <is>
          <t>karine.tremblay@latribune.qc.ca</t>
        </is>
      </c>
      <c r="G70" s="36" t="inlineStr">
        <is>
          <t>819-345-7991</t>
        </is>
      </c>
      <c r="H70" s="36" t="inlineStr">
        <is>
          <t>Estrie</t>
        </is>
      </c>
      <c r="I70" s="37" t="inlineStr">
        <is>
          <t>Agriculture; Art de vivre; Consommation; Environnement</t>
        </is>
      </c>
      <c r="J70" s="36" t="n"/>
      <c r="K70" s="42" t="inlineStr">
        <is>
          <t>Ouvrir</t>
        </is>
      </c>
      <c r="L70" s="38" t="n"/>
      <c r="M70" s="38" t="n"/>
      <c r="N70" s="39" t="n"/>
      <c r="O70" s="25" t="inlineStr">
        <is>
          <t>B</t>
        </is>
      </c>
      <c r="P70" s="25" t="inlineStr">
        <is>
          <t>Estrie : Lasclay au premier episode de la 21e saison de Dragons' Den</t>
        </is>
      </c>
      <c r="Q70" s="25" t="inlineStr">
        <is>
          <t>Bonjour Karine,</t>
        </is>
      </c>
      <c r="S70" s="46" t="inlineStr">
        <is>
          <t>Bonjour Karine,
Une des usines de transformation de l'asclépiade était à Granby. Elle a fermé avec le
reste de la filière en 2018, et l'Estrie compte encore des producteurs de la plante.
On est l'entreprise qui a démarré après cet effondrement. La Tribune a d'ailleurs repris
en décembre dernier un article sur notre dilemme de fabrication.
le 17 septembre, Lasclay est dans le premier épisode de la 21e saison de Dragons' Den, sur CBC et CBC Gem. Je ne peux pas dire comment ça s'est terminé avant la diffusion.
Ce que je peux raconter : pourquoi la première filière est morte, ce qu'on a fait
différemment, et ce que ça coûte de rendre un manteau d'asclépiade accessible à 300 $.</t>
        </is>
      </c>
    </row>
    <row r="71" ht="15" customHeight="1" s="26">
      <c r="A71" s="41" t="inlineStr">
        <is>
          <t>A</t>
        </is>
      </c>
      <c r="B71" s="36" t="inlineStr">
        <is>
          <t>Jean-Francois</t>
        </is>
      </c>
      <c r="C71" s="36" t="inlineStr">
        <is>
          <t>Venne</t>
        </is>
      </c>
      <c r="D71" s="37" t="inlineStr">
        <is>
          <t>Journaliste</t>
        </is>
      </c>
      <c r="E71" s="36" t="inlineStr">
        <is>
          <t>Pigiste</t>
        </is>
      </c>
      <c r="F71" s="36" t="inlineStr">
        <is>
          <t>jf_venne@videotron.ca</t>
        </is>
      </c>
      <c r="G71" s="36" t="n"/>
      <c r="H71" s="36" t="inlineStr">
        <is>
          <t>Montréal</t>
        </is>
      </c>
      <c r="I71" s="37" t="inlineStr">
        <is>
          <t>Environnement; Sciences; Économie</t>
        </is>
      </c>
      <c r="J71" s="36" t="n"/>
      <c r="K71" s="42" t="inlineStr">
        <is>
          <t>Ouvrir</t>
        </is>
      </c>
      <c r="L71" s="38" t="n"/>
      <c r="M71" s="38" t="n"/>
      <c r="N71" s="39" t="n"/>
      <c r="O71" s="25" t="inlineStr">
        <is>
          <t>D</t>
        </is>
      </c>
      <c r="P71" s="25" t="inlineStr">
        <is>
          <t>Le monarque, l'asclepiade, et l'idee qu'il faut la rendre payante</t>
        </is>
      </c>
      <c r="Q71" s="25" t="inlineStr">
        <is>
          <t>Bonjour Jean-Francois,</t>
        </is>
      </c>
      <c r="R71" s="25" t="inlineStr">
        <is>
          <t>Adresse personnelle : individualiser vraiment</t>
        </is>
      </c>
      <c r="S71" s="46" t="inlineStr">
        <is>
          <t>Bonjour Jean-Francois,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72" ht="23.85" customHeight="1" s="26">
      <c r="A72" s="41" t="inlineStr">
        <is>
          <t>A</t>
        </is>
      </c>
      <c r="B72" s="36" t="inlineStr">
        <is>
          <t>Shahram</t>
        </is>
      </c>
      <c r="C72" s="36" t="inlineStr">
        <is>
          <t>Yazdanpanah</t>
        </is>
      </c>
      <c r="D72" s="37" t="inlineStr">
        <is>
          <t>Rédacteur en chef</t>
        </is>
      </c>
      <c r="E72" s="36" t="inlineStr">
        <is>
          <t>Medad</t>
        </is>
      </c>
      <c r="F72" s="36" t="inlineStr">
        <is>
          <t>shram.yazd@gmail.com</t>
        </is>
      </c>
      <c r="G72" s="36" t="inlineStr">
        <is>
          <t>438 738-8068</t>
        </is>
      </c>
      <c r="H72" s="36" t="inlineStr">
        <is>
          <t>Montréal</t>
        </is>
      </c>
      <c r="I72" s="37" t="inlineStr">
        <is>
          <t>Art de vivre; Consommation; Environnement; Plein air; Sciences; Économie</t>
        </is>
      </c>
      <c r="J72" s="36" t="n"/>
      <c r="K72" s="42" t="inlineStr">
        <is>
          <t>Ouvrir</t>
        </is>
      </c>
      <c r="L72" s="38" t="n"/>
      <c r="M72" s="38" t="n"/>
      <c r="N72" s="39" t="n"/>
      <c r="O72" s="25" t="inlineStr">
        <is>
          <t>F</t>
        </is>
      </c>
      <c r="P72" s="25" t="inlineStr">
        <is>
          <t>L'asclepiade contre le duvet, et ce que les tests disent vraiment</t>
        </is>
      </c>
      <c r="Q72" s="25" t="inlineStr">
        <is>
          <t>Bonjour Shahram,</t>
        </is>
      </c>
      <c r="R72" s="25" t="inlineStr">
        <is>
          <t>Adresse personnelle : individualiser vraiment</t>
        </is>
      </c>
      <c r="S72" s="46" t="inlineStr">
        <is>
          <t>Bonjour Shahram,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73" ht="15" customHeight="1" s="26">
      <c r="A73" s="43" t="inlineStr">
        <is>
          <t>B</t>
        </is>
      </c>
      <c r="B73" s="36" t="inlineStr">
        <is>
          <t>Malika</t>
        </is>
      </c>
      <c r="C73" s="36" t="inlineStr">
        <is>
          <t>Alaoui</t>
        </is>
      </c>
      <c r="D73" s="37" t="inlineStr">
        <is>
          <t>Journaliste</t>
        </is>
      </c>
      <c r="E73" s="36" t="inlineStr">
        <is>
          <t>Pigiste</t>
        </is>
      </c>
      <c r="F73" s="36" t="inlineStr">
        <is>
          <t>alaoui.malika514@gmail.com</t>
        </is>
      </c>
      <c r="G73" s="36" t="n"/>
      <c r="H73" s="36" t="inlineStr">
        <is>
          <t>Montréal</t>
        </is>
      </c>
      <c r="I73" s="37" t="inlineStr">
        <is>
          <t>Art de vivre; Consommation; Environnement; Mode et beauté</t>
        </is>
      </c>
      <c r="J73" s="36" t="n"/>
      <c r="K73" s="42" t="inlineStr">
        <is>
          <t>Ouvrir</t>
        </is>
      </c>
      <c r="L73" s="38" t="n"/>
      <c r="M73" s="38" t="n"/>
      <c r="N73" s="39" t="n"/>
      <c r="O73" s="25" t="inlineStr">
        <is>
          <t>G</t>
        </is>
      </c>
      <c r="P73" s="25" t="inlineStr">
        <is>
          <t>Un manteau isole avec une mauvaise herbe, au premier episode de Dragons' Den</t>
        </is>
      </c>
      <c r="Q73" s="25" t="inlineStr">
        <is>
          <t>Bonjour Malika,</t>
        </is>
      </c>
      <c r="R73" s="25" t="inlineStr">
        <is>
          <t>Adresse personnelle : individualiser vraiment</t>
        </is>
      </c>
      <c r="S73" s="46" t="inlineStr">
        <is>
          <t>Bonjour Malika,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74" ht="15" customHeight="1" s="26">
      <c r="A74" s="43" t="inlineStr">
        <is>
          <t>B</t>
        </is>
      </c>
      <c r="B74" s="36" t="inlineStr">
        <is>
          <t>Yahia</t>
        </is>
      </c>
      <c r="C74" s="36" t="inlineStr">
        <is>
          <t>Arkat</t>
        </is>
      </c>
      <c r="D74" s="37" t="inlineStr">
        <is>
          <t>Journaliste</t>
        </is>
      </c>
      <c r="E74" s="36" t="inlineStr">
        <is>
          <t>Agence QMI</t>
        </is>
      </c>
      <c r="F74" s="36" t="inlineStr">
        <is>
          <t>dayenkan@yahoo.fr</t>
        </is>
      </c>
      <c r="G74" s="36" t="inlineStr">
        <is>
          <t>514 380-1997</t>
        </is>
      </c>
      <c r="H74" s="36" t="inlineStr">
        <is>
          <t>Montréal</t>
        </is>
      </c>
      <c r="I74" s="37" t="inlineStr">
        <is>
          <t>Environnement; Économie</t>
        </is>
      </c>
      <c r="J74" s="36" t="n"/>
      <c r="K74" s="42" t="inlineStr">
        <is>
          <t>Ouvrir</t>
        </is>
      </c>
      <c r="L74" s="38" t="n"/>
      <c r="M74" s="38" t="n"/>
      <c r="N74" s="39" t="n"/>
      <c r="O74" s="25" t="inlineStr">
        <is>
          <t>D</t>
        </is>
      </c>
      <c r="P74" s="25" t="inlineStr">
        <is>
          <t>Le monarque, l'asclepiade, et l'idee qu'il faut la rendre payante</t>
        </is>
      </c>
      <c r="Q74" s="25" t="inlineStr">
        <is>
          <t>Bonjour Yahia,</t>
        </is>
      </c>
      <c r="S74" s="46" t="inlineStr">
        <is>
          <t>Bonjour Yahia,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75" ht="15" customHeight="1" s="26">
      <c r="A75" s="43" t="inlineStr">
        <is>
          <t>B</t>
        </is>
      </c>
      <c r="B75" s="36" t="inlineStr">
        <is>
          <t>MARC-OLIVIER</t>
        </is>
      </c>
      <c r="C75" s="36" t="inlineStr">
        <is>
          <t>BISSON</t>
        </is>
      </c>
      <c r="D75" s="37" t="inlineStr">
        <is>
          <t>Journaliste</t>
        </is>
      </c>
      <c r="E75" s="36" t="inlineStr">
        <is>
          <t>Pigiste</t>
        </is>
      </c>
      <c r="F75" s="36" t="inlineStr">
        <is>
          <t>mobisson@ledroit.com</t>
        </is>
      </c>
      <c r="G75" s="36" t="inlineStr">
        <is>
          <t>8192719156</t>
        </is>
      </c>
      <c r="H75" s="36" t="inlineStr">
        <is>
          <t>Laurentides</t>
        </is>
      </c>
      <c r="I75" s="37" t="inlineStr">
        <is>
          <t>Agriculture; Environnement</t>
        </is>
      </c>
      <c r="J75" s="36" t="n"/>
      <c r="K75" s="42" t="inlineStr">
        <is>
          <t>Ouvrir</t>
        </is>
      </c>
      <c r="L75" s="38" t="n"/>
      <c r="M75" s="38" t="n"/>
      <c r="N75" s="39" t="n"/>
      <c r="O75" s="25" t="inlineStr">
        <is>
          <t>C</t>
        </is>
      </c>
      <c r="P75" s="25" t="inlineStr">
        <is>
          <t>L'asclepiade, huit ans apres l'effondrement de la filiere</t>
        </is>
      </c>
      <c r="Q75" s="25" t="inlineStr">
        <is>
          <t>Bonjour MARC-OLIVIER,</t>
        </is>
      </c>
      <c r="R75" s="25" t="inlineStr">
        <is>
          <t>Adresse personnelle : individualiser vraiment</t>
        </is>
      </c>
      <c r="S75" s="46" t="inlineStr">
        <is>
          <t>Bonjour MARC-OLIVIER,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76" ht="15" customHeight="1" s="26">
      <c r="A76" s="43" t="inlineStr">
        <is>
          <t>B</t>
        </is>
      </c>
      <c r="B76" s="36" t="inlineStr">
        <is>
          <t>Maïté</t>
        </is>
      </c>
      <c r="C76" s="36" t="inlineStr">
        <is>
          <t>Belmir</t>
        </is>
      </c>
      <c r="D76" s="37" t="inlineStr">
        <is>
          <t>Journaliste - chroniqueuse radio</t>
        </is>
      </c>
      <c r="E76" s="36" t="inlineStr">
        <is>
          <t>Pigiste</t>
        </is>
      </c>
      <c r="F76" s="36" t="inlineStr">
        <is>
          <t>belmirmaitepro@gmail.com</t>
        </is>
      </c>
      <c r="G76" s="36" t="n"/>
      <c r="H76" s="36" t="inlineStr">
        <is>
          <t>Montréal</t>
        </is>
      </c>
      <c r="I76" s="37" t="inlineStr">
        <is>
          <t>Consommation; Environnement</t>
        </is>
      </c>
      <c r="J76" s="36" t="n"/>
      <c r="K76" s="42" t="inlineStr">
        <is>
          <t>Ouvrir</t>
        </is>
      </c>
      <c r="L76" s="38" t="n"/>
      <c r="M76" s="38" t="n"/>
      <c r="N76" s="39" t="n"/>
      <c r="O76" s="25" t="inlineStr">
        <is>
          <t>D</t>
        </is>
      </c>
      <c r="P76" s="25" t="inlineStr">
        <is>
          <t>Le monarque, l'asclepiade, et l'idee qu'il faut la rendre payante</t>
        </is>
      </c>
      <c r="Q76" s="25" t="inlineStr">
        <is>
          <t>Bonjour Maïté,</t>
        </is>
      </c>
      <c r="R76" s="25" t="inlineStr">
        <is>
          <t>Adresse personnelle : individualiser vraiment</t>
        </is>
      </c>
      <c r="S76" s="46" t="inlineStr">
        <is>
          <t>Bonjour Maïté,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77" ht="15" customHeight="1" s="26">
      <c r="A77" s="43" t="inlineStr">
        <is>
          <t>B</t>
        </is>
      </c>
      <c r="B77" s="36" t="inlineStr">
        <is>
          <t>André</t>
        </is>
      </c>
      <c r="C77" s="36" t="inlineStr">
        <is>
          <t>Bernard</t>
        </is>
      </c>
      <c r="D77" s="37" t="inlineStr">
        <is>
          <t>Journaliste - reporter</t>
        </is>
      </c>
      <c r="E77" s="36" t="inlineStr">
        <is>
          <t>Radio-Canada (Montréal)</t>
        </is>
      </c>
      <c r="F77" s="36" t="inlineStr">
        <is>
          <t>andre.bernard_tv@radio-canada.ca</t>
        </is>
      </c>
      <c r="G77" s="36" t="n"/>
      <c r="H77" s="36" t="inlineStr">
        <is>
          <t>Montréal</t>
        </is>
      </c>
      <c r="I77" s="37" t="inlineStr">
        <is>
          <t>Environnement; Sciences</t>
        </is>
      </c>
      <c r="J77" s="36" t="n"/>
      <c r="K77" s="42" t="inlineStr">
        <is>
          <t>Ouvrir</t>
        </is>
      </c>
      <c r="L77" s="38" t="n"/>
      <c r="M77" s="38" t="n"/>
      <c r="N77" s="39" t="n"/>
      <c r="O77" s="25" t="inlineStr">
        <is>
          <t>D</t>
        </is>
      </c>
      <c r="P77" s="25" t="inlineStr">
        <is>
          <t>Le monarque, l'asclepiade, et l'idee qu'il faut la rendre payante</t>
        </is>
      </c>
      <c r="Q77" s="25" t="inlineStr">
        <is>
          <t>Bonjour André,</t>
        </is>
      </c>
      <c r="S77" s="46" t="inlineStr">
        <is>
          <t>Bonjour André,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78" ht="15" customHeight="1" s="26">
      <c r="A78" s="43" t="inlineStr">
        <is>
          <t>B</t>
        </is>
      </c>
      <c r="B78" s="36" t="inlineStr">
        <is>
          <t>Didier</t>
        </is>
      </c>
      <c r="C78" s="36" t="inlineStr">
        <is>
          <t>Bert</t>
        </is>
      </c>
      <c r="D78" s="37" t="inlineStr">
        <is>
          <t>Journaliste indépendant</t>
        </is>
      </c>
      <c r="E78" s="36" t="inlineStr">
        <is>
          <t>Pigiste</t>
        </is>
      </c>
      <c r="F78" s="36" t="inlineStr">
        <is>
          <t>didier@didierbert.com</t>
        </is>
      </c>
      <c r="G78" s="36" t="inlineStr">
        <is>
          <t>514-654-9254</t>
        </is>
      </c>
      <c r="H78" s="36" t="inlineStr">
        <is>
          <t>France</t>
        </is>
      </c>
      <c r="I78" s="37" t="inlineStr">
        <is>
          <t>Sciences; Économie</t>
        </is>
      </c>
      <c r="J78" s="36" t="n"/>
      <c r="K78" s="42" t="inlineStr">
        <is>
          <t>Ouvrir</t>
        </is>
      </c>
      <c r="L78" s="38" t="n"/>
      <c r="M78" s="38" t="n"/>
      <c r="N78" s="39" t="n"/>
      <c r="O78" s="25" t="inlineStr">
        <is>
          <t>D</t>
        </is>
      </c>
      <c r="P78" s="25" t="inlineStr">
        <is>
          <t>Le monarque, l'asclepiade, et l'idee qu'il faut la rendre payante</t>
        </is>
      </c>
      <c r="Q78" s="25" t="inlineStr">
        <is>
          <t>Bonjour Didier,</t>
        </is>
      </c>
      <c r="R78" s="25" t="inlineStr">
        <is>
          <t>Adresse personnelle : individualiser vraiment</t>
        </is>
      </c>
      <c r="S78" s="46" t="inlineStr">
        <is>
          <t>Bonjour Didier,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79" ht="15" customHeight="1" s="26">
      <c r="A79" s="43" t="inlineStr">
        <is>
          <t>B</t>
        </is>
      </c>
      <c r="B79" s="36" t="inlineStr">
        <is>
          <t>Sophie-Andrée</t>
        </is>
      </c>
      <c r="C79" s="36" t="inlineStr">
        <is>
          <t>Blondin</t>
        </is>
      </c>
      <c r="D79" s="37" t="inlineStr">
        <is>
          <t>Journaliste- animatrice</t>
        </is>
      </c>
      <c r="E79" s="36" t="inlineStr">
        <is>
          <t>Radio-Canada (Montréal)</t>
        </is>
      </c>
      <c r="F79" s="36" t="inlineStr">
        <is>
          <t>sophie-andree.blondin@radio-canada.ca</t>
        </is>
      </c>
      <c r="G79" s="36" t="n"/>
      <c r="H79" s="36" t="inlineStr">
        <is>
          <t>Montréal</t>
        </is>
      </c>
      <c r="I79" s="37" t="inlineStr">
        <is>
          <t>Environnement; Sciences</t>
        </is>
      </c>
      <c r="J79" s="36" t="n"/>
      <c r="K79" s="42" t="inlineStr">
        <is>
          <t>Ouvrir</t>
        </is>
      </c>
      <c r="L79" s="38" t="n"/>
      <c r="M79" s="38" t="n"/>
      <c r="N79" s="39" t="n"/>
      <c r="O79" s="25" t="inlineStr">
        <is>
          <t>I</t>
        </is>
      </c>
      <c r="P79" s="25" t="inlineStr">
        <is>
          <t>Invite disponible : Lasclay a Dragons' Den le 17 septembre</t>
        </is>
      </c>
      <c r="Q79" s="25" t="inlineStr">
        <is>
          <t>Bonjour Sophie-Andrée,</t>
        </is>
      </c>
      <c r="S79" s="46" t="inlineStr">
        <is>
          <t>Bonjour Sophie-Andrée,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80" ht="15" customHeight="1" s="26">
      <c r="A80" s="43" t="inlineStr">
        <is>
          <t>B</t>
        </is>
      </c>
      <c r="B80" s="36" t="inlineStr">
        <is>
          <t>Pierre</t>
        </is>
      </c>
      <c r="C80" s="36" t="inlineStr">
        <is>
          <t>Brochu</t>
        </is>
      </c>
      <c r="D80" s="37" t="inlineStr">
        <is>
          <t>Réalisateur - recherchiste-scénariste</t>
        </is>
      </c>
      <c r="E80" s="36" t="inlineStr">
        <is>
          <t>Ubique Film</t>
        </is>
      </c>
      <c r="F80" s="36" t="inlineStr">
        <is>
          <t>pierre@ubiquefilm.com</t>
        </is>
      </c>
      <c r="G80" s="36" t="inlineStr">
        <is>
          <t>514-386-3390</t>
        </is>
      </c>
      <c r="H80" s="36" t="inlineStr">
        <is>
          <t>Estrie</t>
        </is>
      </c>
      <c r="I80" s="37" t="inlineStr">
        <is>
          <t>Environnement; Sciences</t>
        </is>
      </c>
      <c r="J80" s="36" t="n"/>
      <c r="K80" s="42" t="inlineStr">
        <is>
          <t>Ouvrir</t>
        </is>
      </c>
      <c r="L80" s="38" t="n"/>
      <c r="M80" s="38" t="n"/>
      <c r="N80" s="39" t="n"/>
      <c r="O80" s="25" t="inlineStr">
        <is>
          <t>I</t>
        </is>
      </c>
      <c r="P80" s="25" t="inlineStr">
        <is>
          <t>Invite disponible : Lasclay a Dragons' Den le 17 septembre</t>
        </is>
      </c>
      <c r="Q80" s="25" t="inlineStr">
        <is>
          <t>Bonjour Pierre,</t>
        </is>
      </c>
      <c r="S80" s="46" t="inlineStr">
        <is>
          <t>Bonjour Pierre,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81" ht="15" customHeight="1" s="26">
      <c r="A81" s="43" t="inlineStr">
        <is>
          <t>B</t>
        </is>
      </c>
      <c r="B81" s="36" t="inlineStr">
        <is>
          <t>Gilles</t>
        </is>
      </c>
      <c r="C81" s="36" t="inlineStr">
        <is>
          <t>Bérubé</t>
        </is>
      </c>
      <c r="D81" s="37" t="inlineStr">
        <is>
          <t>Journaliste</t>
        </is>
      </c>
      <c r="E81" s="36" t="inlineStr">
        <is>
          <t>Pigiste</t>
        </is>
      </c>
      <c r="F81" s="36" t="inlineStr">
        <is>
          <t>gilles-berube@hotmail.com</t>
        </is>
      </c>
      <c r="G81" s="36" t="inlineStr">
        <is>
          <t>450 210-1362</t>
        </is>
      </c>
      <c r="H81" s="36" t="inlineStr">
        <is>
          <t>Montérégie</t>
        </is>
      </c>
      <c r="I81" s="37" t="inlineStr">
        <is>
          <t>Agriculture; Environnement</t>
        </is>
      </c>
      <c r="J81" s="36" t="n"/>
      <c r="K81" s="42" t="inlineStr">
        <is>
          <t>Ouvrir</t>
        </is>
      </c>
      <c r="L81" s="38" t="n"/>
      <c r="M81" s="38" t="n"/>
      <c r="N81" s="39" t="n"/>
      <c r="O81" s="25" t="inlineStr">
        <is>
          <t>C</t>
        </is>
      </c>
      <c r="P81" s="25" t="inlineStr">
        <is>
          <t>L'asclepiade, huit ans apres l'effondrement de la filiere</t>
        </is>
      </c>
      <c r="Q81" s="25" t="inlineStr">
        <is>
          <t>Bonjour Gilles,</t>
        </is>
      </c>
      <c r="R81" s="25" t="inlineStr">
        <is>
          <t>Adresse personnelle : individualiser vraiment</t>
        </is>
      </c>
      <c r="S81" s="46" t="inlineStr">
        <is>
          <t>Bonjour Gilles,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82" ht="15" customHeight="1" s="26">
      <c r="A82" s="43" t="inlineStr">
        <is>
          <t>B</t>
        </is>
      </c>
      <c r="B82" s="36" t="inlineStr">
        <is>
          <t>Daphné</t>
        </is>
      </c>
      <c r="C82" s="36" t="inlineStr">
        <is>
          <t>Cameron</t>
        </is>
      </c>
      <c r="D82" s="37" t="inlineStr">
        <is>
          <t>Reporter</t>
        </is>
      </c>
      <c r="E82" s="36" t="inlineStr">
        <is>
          <t>La Presse</t>
        </is>
      </c>
      <c r="F82" s="36" t="inlineStr">
        <is>
          <t>dcameron@lapresse.ca</t>
        </is>
      </c>
      <c r="G82" s="36" t="inlineStr">
        <is>
          <t>514 285-7000, #4856</t>
        </is>
      </c>
      <c r="H82" s="36" t="inlineStr">
        <is>
          <t>Montréal</t>
        </is>
      </c>
      <c r="I82" s="37" t="inlineStr">
        <is>
          <t>Agriculture; Environnement</t>
        </is>
      </c>
      <c r="J82" s="36" t="n"/>
      <c r="K82" s="42" t="inlineStr">
        <is>
          <t>Ouvrir</t>
        </is>
      </c>
      <c r="L82" s="38" t="n"/>
      <c r="M82" s="38" t="n"/>
      <c r="N82" s="39" t="n"/>
      <c r="O82" s="25" t="inlineStr">
        <is>
          <t>C</t>
        </is>
      </c>
      <c r="P82" s="25" t="inlineStr">
        <is>
          <t>L'asclepiade, huit ans apres l'effondrement de la filiere</t>
        </is>
      </c>
      <c r="Q82" s="25" t="inlineStr">
        <is>
          <t>Bonjour Daphné,</t>
        </is>
      </c>
      <c r="S82" s="46" t="inlineStr">
        <is>
          <t>Bonjour Daphné,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83" ht="15" customHeight="1" s="26">
      <c r="A83" s="43" t="inlineStr">
        <is>
          <t>B</t>
        </is>
      </c>
      <c r="B83" s="36" t="inlineStr">
        <is>
          <t>Godefroy Macaire</t>
        </is>
      </c>
      <c r="C83" s="36" t="inlineStr">
        <is>
          <t>Chabi</t>
        </is>
      </c>
      <c r="D83" s="37" t="inlineStr">
        <is>
          <t>Réalisateur-pupitre</t>
        </is>
      </c>
      <c r="E83" s="36" t="inlineStr">
        <is>
          <t>Radio-Canada Winnipeg</t>
        </is>
      </c>
      <c r="F83" s="36" t="inlineStr">
        <is>
          <t>godefroy.chabi@radio-canada.ca</t>
        </is>
      </c>
      <c r="G83" s="36" t="inlineStr">
        <is>
          <t>613 288-6600</t>
        </is>
      </c>
      <c r="H83" s="36" t="inlineStr">
        <is>
          <t>Canada anglais</t>
        </is>
      </c>
      <c r="I83" s="37" t="inlineStr">
        <is>
          <t>Environnement; Sciences</t>
        </is>
      </c>
      <c r="J83" s="36" t="n"/>
      <c r="K83" s="42" t="inlineStr">
        <is>
          <t>Ouvrir</t>
        </is>
      </c>
      <c r="L83" s="38" t="n"/>
      <c r="M83" s="38" t="n"/>
      <c r="N83" s="39" t="n"/>
      <c r="O83" s="25" t="inlineStr">
        <is>
          <t>B</t>
        </is>
      </c>
      <c r="P83" s="25" t="inlineStr">
        <is>
          <t>Canada anglais : Lasclay au premier episode de la 21e saison de Dragons' Den</t>
        </is>
      </c>
      <c r="Q83" s="25" t="inlineStr">
        <is>
          <t>Bonjour Godefroy Macaire,</t>
        </is>
      </c>
      <c r="S83" s="46" t="inlineStr">
        <is>
          <t>Bonjour Godefroy Macaire,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84" ht="15" customHeight="1" s="26">
      <c r="A84" s="43" t="inlineStr">
        <is>
          <t>B</t>
        </is>
      </c>
      <c r="B84" s="36" t="inlineStr">
        <is>
          <t>Sara</t>
        </is>
      </c>
      <c r="C84" s="36" t="inlineStr">
        <is>
          <t>Champagne</t>
        </is>
      </c>
      <c r="D84" s="37" t="inlineStr">
        <is>
          <t>Reporter</t>
        </is>
      </c>
      <c r="E84" s="36" t="inlineStr">
        <is>
          <t>La Presse</t>
        </is>
      </c>
      <c r="F84" s="36" t="inlineStr">
        <is>
          <t>schampagne@lapresse.ca</t>
        </is>
      </c>
      <c r="G84" s="36" t="inlineStr">
        <is>
          <t>514 285-7070</t>
        </is>
      </c>
      <c r="H84" s="36" t="inlineStr">
        <is>
          <t>Montréal</t>
        </is>
      </c>
      <c r="I84" s="37" t="inlineStr">
        <is>
          <t>Environnement; Sciences</t>
        </is>
      </c>
      <c r="J84" s="36" t="n"/>
      <c r="K84" s="42" t="inlineStr">
        <is>
          <t>Ouvrir</t>
        </is>
      </c>
      <c r="L84" s="38" t="n"/>
      <c r="M84" s="38" t="n"/>
      <c r="N84" s="39" t="n"/>
      <c r="O84" s="25" t="inlineStr">
        <is>
          <t>D</t>
        </is>
      </c>
      <c r="P84" s="25" t="inlineStr">
        <is>
          <t>Le monarque, l'asclepiade, et l'idee qu'il faut la rendre payante</t>
        </is>
      </c>
      <c r="Q84" s="25" t="inlineStr">
        <is>
          <t>Bonjour Sara,</t>
        </is>
      </c>
      <c r="S84" s="46" t="inlineStr">
        <is>
          <t>Bonjour Sara,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85" ht="15" customHeight="1" s="26">
      <c r="A85" s="43" t="inlineStr">
        <is>
          <t>B</t>
        </is>
      </c>
      <c r="B85" s="36" t="inlineStr">
        <is>
          <t>Sarah</t>
        </is>
      </c>
      <c r="C85" s="36" t="inlineStr">
        <is>
          <t>Champagne</t>
        </is>
      </c>
      <c r="D85" s="37" t="inlineStr">
        <is>
          <t>Journaliste</t>
        </is>
      </c>
      <c r="E85" s="36" t="inlineStr">
        <is>
          <t>Le Devoir</t>
        </is>
      </c>
      <c r="F85" s="36" t="inlineStr">
        <is>
          <t>schampagne@ledevoir.com</t>
        </is>
      </c>
      <c r="G85" s="36" t="inlineStr">
        <is>
          <t>514 985-3333</t>
        </is>
      </c>
      <c r="H85" s="36" t="inlineStr">
        <is>
          <t>Montréal</t>
        </is>
      </c>
      <c r="I85" s="37" t="inlineStr">
        <is>
          <t>Agriculture; Environnement</t>
        </is>
      </c>
      <c r="J85" s="36" t="n"/>
      <c r="K85" s="42" t="inlineStr">
        <is>
          <t>Ouvrir</t>
        </is>
      </c>
      <c r="L85" s="38" t="n"/>
      <c r="M85" s="38" t="n"/>
      <c r="N85" s="39" t="n"/>
      <c r="O85" s="25" t="inlineStr">
        <is>
          <t>C</t>
        </is>
      </c>
      <c r="P85" s="25" t="inlineStr">
        <is>
          <t>L'asclepiade, huit ans apres l'effondrement de la filiere</t>
        </is>
      </c>
      <c r="Q85" s="25" t="inlineStr">
        <is>
          <t>Bonjour Sarah,</t>
        </is>
      </c>
      <c r="S85" s="46" t="inlineStr">
        <is>
          <t>Bonjour Sarah,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86" ht="15" customHeight="1" s="26">
      <c r="A86" s="43" t="inlineStr">
        <is>
          <t>B</t>
        </is>
      </c>
      <c r="B86" s="36" t="inlineStr">
        <is>
          <t>Éric-Pierre</t>
        </is>
      </c>
      <c r="C86" s="36" t="inlineStr">
        <is>
          <t>Champagne</t>
        </is>
      </c>
      <c r="D86" s="37" t="inlineStr">
        <is>
          <t>Reporter</t>
        </is>
      </c>
      <c r="E86" s="36" t="inlineStr">
        <is>
          <t>La Presse</t>
        </is>
      </c>
      <c r="F86" s="36" t="inlineStr">
        <is>
          <t>echampagne@lapresse.ca</t>
        </is>
      </c>
      <c r="G86" s="36" t="inlineStr">
        <is>
          <t>514 285-7070</t>
        </is>
      </c>
      <c r="H86" s="36" t="inlineStr">
        <is>
          <t>Montréal</t>
        </is>
      </c>
      <c r="I86" s="37" t="inlineStr">
        <is>
          <t>Environnement; Sciences</t>
        </is>
      </c>
      <c r="J86" s="36" t="n"/>
      <c r="K86" s="42" t="inlineStr">
        <is>
          <t>Ouvrir</t>
        </is>
      </c>
      <c r="L86" s="38" t="n"/>
      <c r="M86" s="38" t="n"/>
      <c r="N86" s="39" t="n"/>
      <c r="O86" s="25" t="inlineStr">
        <is>
          <t>D</t>
        </is>
      </c>
      <c r="P86" s="25" t="inlineStr">
        <is>
          <t>Le monarque, l'asclepiade, et l'idee qu'il faut la rendre payante</t>
        </is>
      </c>
      <c r="Q86" s="25" t="inlineStr">
        <is>
          <t>Bonjour Éric-Pierre,</t>
        </is>
      </c>
      <c r="S86" s="46" t="inlineStr">
        <is>
          <t>Bonjour Éric-Pierre,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87" ht="15" customHeight="1" s="26">
      <c r="A87" s="43" t="inlineStr">
        <is>
          <t>B</t>
        </is>
      </c>
      <c r="B87" s="36" t="inlineStr">
        <is>
          <t>Marine</t>
        </is>
      </c>
      <c r="C87" s="36" t="inlineStr">
        <is>
          <t>Corniou</t>
        </is>
      </c>
      <c r="D87" s="37" t="inlineStr">
        <is>
          <t>Rédactrice en chef</t>
        </is>
      </c>
      <c r="E87" s="36" t="inlineStr">
        <is>
          <t>Québec Science</t>
        </is>
      </c>
      <c r="F87" s="36" t="inlineStr">
        <is>
          <t>m.corniou@quebecscience.qc.ca</t>
        </is>
      </c>
      <c r="G87" s="36" t="inlineStr">
        <is>
          <t>514 521-8356, #418</t>
        </is>
      </c>
      <c r="H87" s="36" t="inlineStr">
        <is>
          <t>Montréal</t>
        </is>
      </c>
      <c r="I87" s="37" t="inlineStr">
        <is>
          <t>Environnement; Sciences</t>
        </is>
      </c>
      <c r="J87" s="36" t="n"/>
      <c r="K87" s="42" t="inlineStr">
        <is>
          <t>Ouvrir</t>
        </is>
      </c>
      <c r="L87" s="38" t="n"/>
      <c r="M87" s="38" t="n"/>
      <c r="N87" s="39" t="n"/>
      <c r="O87" s="25" t="inlineStr">
        <is>
          <t>D</t>
        </is>
      </c>
      <c r="P87" s="25" t="inlineStr">
        <is>
          <t>Le monarque, l'asclepiade, et l'idee qu'il faut la rendre payante</t>
        </is>
      </c>
      <c r="Q87" s="25" t="inlineStr">
        <is>
          <t>Bonjour Marine,</t>
        </is>
      </c>
      <c r="S87" s="46" t="inlineStr">
        <is>
          <t>Bonjour Marine,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88" ht="15" customHeight="1" s="26">
      <c r="A88" s="43" t="inlineStr">
        <is>
          <t>B</t>
        </is>
      </c>
      <c r="B88" s="36" t="inlineStr">
        <is>
          <t>Catherine</t>
        </is>
      </c>
      <c r="C88" s="36" t="inlineStr">
        <is>
          <t>Crépeau</t>
        </is>
      </c>
      <c r="D88" s="37" t="inlineStr">
        <is>
          <t>journaliste</t>
        </is>
      </c>
      <c r="E88" s="36" t="inlineStr">
        <is>
          <t>Protégez-Vous</t>
        </is>
      </c>
      <c r="F88" s="36" t="inlineStr">
        <is>
          <t>ccrepeau@protegez-vous.ca</t>
        </is>
      </c>
      <c r="G88" s="36" t="n"/>
      <c r="H88" s="36" t="inlineStr">
        <is>
          <t>Montréal</t>
        </is>
      </c>
      <c r="I88" s="37" t="inlineStr">
        <is>
          <t>Consommation; Sciences</t>
        </is>
      </c>
      <c r="J88" s="36" t="n"/>
      <c r="K88" s="42" t="inlineStr">
        <is>
          <t>Ouvrir</t>
        </is>
      </c>
      <c r="L88" s="38" t="n"/>
      <c r="M88" s="38" t="n"/>
      <c r="N88" s="39" t="n"/>
      <c r="O88" s="25" t="inlineStr">
        <is>
          <t>D</t>
        </is>
      </c>
      <c r="P88" s="25" t="inlineStr">
        <is>
          <t>Le monarque, l'asclepiade, et l'idee qu'il faut la rendre payante</t>
        </is>
      </c>
      <c r="Q88" s="25" t="inlineStr">
        <is>
          <t>Bonjour Catherine,</t>
        </is>
      </c>
      <c r="S88" s="46" t="inlineStr">
        <is>
          <t>Bonjour Catherine,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89" ht="15" customHeight="1" s="26">
      <c r="A89" s="43" t="inlineStr">
        <is>
          <t>B</t>
        </is>
      </c>
      <c r="B89" s="36" t="inlineStr">
        <is>
          <t>Laurence</t>
        </is>
      </c>
      <c r="C89" s="36" t="inlineStr">
        <is>
          <t>Dami-Houle</t>
        </is>
      </c>
      <c r="D89" s="37" t="inlineStr">
        <is>
          <t>Journaliste coordoonatrice</t>
        </is>
      </c>
      <c r="E89" s="36" t="inlineStr">
        <is>
          <t>C F I M - 92,7 FM</t>
        </is>
      </c>
      <c r="F89" s="36" t="inlineStr">
        <is>
          <t>laurencedami@cfim.ca</t>
        </is>
      </c>
      <c r="G89" s="36" t="inlineStr">
        <is>
          <t>4189865233</t>
        </is>
      </c>
      <c r="H89" s="36" t="inlineStr">
        <is>
          <t>Est-du-Québec</t>
        </is>
      </c>
      <c r="I89" s="37" t="inlineStr">
        <is>
          <t>Environnement; Sciences</t>
        </is>
      </c>
      <c r="J89" s="36" t="n"/>
      <c r="K89" s="42" t="inlineStr">
        <is>
          <t>Ouvrir</t>
        </is>
      </c>
      <c r="L89" s="38" t="n"/>
      <c r="M89" s="38" t="n"/>
      <c r="N89" s="39" t="n"/>
      <c r="O89" s="25" t="inlineStr">
        <is>
          <t>B</t>
        </is>
      </c>
      <c r="P89" s="25" t="inlineStr">
        <is>
          <t>Est-du-Québec : Lasclay au premier episode de la 21e saison de Dragons' Den</t>
        </is>
      </c>
      <c r="Q89" s="25" t="inlineStr">
        <is>
          <t>Bonjour Laurence,</t>
        </is>
      </c>
      <c r="S89" s="46" t="inlineStr">
        <is>
          <t>Bonjour Laurence,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90" ht="15" customHeight="1" s="26">
      <c r="A90" s="43" t="inlineStr">
        <is>
          <t>B</t>
        </is>
      </c>
      <c r="B90" s="36" t="inlineStr">
        <is>
          <t>Amélie</t>
        </is>
      </c>
      <c r="C90" s="36" t="inlineStr">
        <is>
          <t>Daoust-Boisvert</t>
        </is>
      </c>
      <c r="D90" s="37" t="inlineStr">
        <is>
          <t>Journaliste et professeure</t>
        </is>
      </c>
      <c r="E90" s="36" t="inlineStr">
        <is>
          <t>Pigiste</t>
        </is>
      </c>
      <c r="F90" s="36" t="inlineStr">
        <is>
          <t>amelie.daoust-boisvert@concordia.ca</t>
        </is>
      </c>
      <c r="G90" s="36" t="n"/>
      <c r="H90" s="36" t="inlineStr">
        <is>
          <t>Montérégie</t>
        </is>
      </c>
      <c r="I90" s="37" t="inlineStr">
        <is>
          <t>Environnement; Sciences</t>
        </is>
      </c>
      <c r="J90" s="36" t="n"/>
      <c r="K90" s="42" t="inlineStr">
        <is>
          <t>Ouvrir</t>
        </is>
      </c>
      <c r="L90" s="38" t="n"/>
      <c r="M90" s="38" t="n"/>
      <c r="N90" s="39" t="n"/>
      <c r="O90" s="25" t="inlineStr">
        <is>
          <t>D</t>
        </is>
      </c>
      <c r="P90" s="25" t="inlineStr">
        <is>
          <t>Le monarque, l'asclepiade, et l'idee qu'il faut la rendre payante</t>
        </is>
      </c>
      <c r="Q90" s="25" t="inlineStr">
        <is>
          <t>Bonjour Amélie,</t>
        </is>
      </c>
      <c r="R90" s="25" t="inlineStr">
        <is>
          <t>Adresse personnelle : individualiser vraiment</t>
        </is>
      </c>
      <c r="S90" s="46" t="inlineStr">
        <is>
          <t>Bonjour Amélie,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91" ht="15" customHeight="1" s="26">
      <c r="A91" s="43" t="inlineStr">
        <is>
          <t>B</t>
        </is>
      </c>
      <c r="B91" s="36" t="inlineStr">
        <is>
          <t>Dominique</t>
        </is>
      </c>
      <c r="C91" s="36" t="inlineStr">
        <is>
          <t>Degré</t>
        </is>
      </c>
      <c r="D91" s="37" t="inlineStr">
        <is>
          <t>Journaliste et chef de pupitre</t>
        </is>
      </c>
      <c r="E91" s="36" t="inlineStr">
        <is>
          <t>Radio-Canada</t>
        </is>
      </c>
      <c r="F91" s="36" t="inlineStr">
        <is>
          <t>dominique.degre@radio-canada.ca</t>
        </is>
      </c>
      <c r="G91" s="36" t="n"/>
      <c r="H91" s="36" t="inlineStr">
        <is>
          <t>Montérégie</t>
        </is>
      </c>
      <c r="I91" s="37" t="inlineStr">
        <is>
          <t>Environnement; Sciences</t>
        </is>
      </c>
      <c r="J91" s="36" t="n"/>
      <c r="K91" s="42" t="inlineStr">
        <is>
          <t>Ouvrir</t>
        </is>
      </c>
      <c r="L91" s="38" t="n"/>
      <c r="M91" s="38" t="n"/>
      <c r="N91" s="39" t="n"/>
      <c r="O91" s="25" t="inlineStr">
        <is>
          <t>B</t>
        </is>
      </c>
      <c r="P91" s="25" t="inlineStr">
        <is>
          <t>Montérégie : Lasclay au premier episode de la 21e saison de Dragons' Den</t>
        </is>
      </c>
      <c r="Q91" s="25" t="inlineStr">
        <is>
          <t>Bonjour Dominique,</t>
        </is>
      </c>
      <c r="S91" s="46" t="inlineStr">
        <is>
          <t>Bonjour Dominique,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92" ht="15" customHeight="1" s="26">
      <c r="A92" s="43" t="inlineStr">
        <is>
          <t>B</t>
        </is>
      </c>
      <c r="B92" s="36" t="inlineStr">
        <is>
          <t>Quentin</t>
        </is>
      </c>
      <c r="C92" s="36" t="inlineStr">
        <is>
          <t>Dufranne</t>
        </is>
      </c>
      <c r="D92" s="37" t="inlineStr">
        <is>
          <t>Journaliste</t>
        </is>
      </c>
      <c r="E92" s="36" t="inlineStr">
        <is>
          <t>Pigiste</t>
        </is>
      </c>
      <c r="F92" s="36" t="inlineStr">
        <is>
          <t>quentin.dufranne@gmail.com</t>
        </is>
      </c>
      <c r="G92" s="36" t="inlineStr">
        <is>
          <t>4386302056</t>
        </is>
      </c>
      <c r="H92" s="36" t="inlineStr">
        <is>
          <t>Montréal</t>
        </is>
      </c>
      <c r="I92" s="37" t="inlineStr">
        <is>
          <t>Environnement; Sciences</t>
        </is>
      </c>
      <c r="J92" s="36" t="n"/>
      <c r="K92" s="42" t="inlineStr">
        <is>
          <t>Ouvrir</t>
        </is>
      </c>
      <c r="L92" s="38" t="n"/>
      <c r="M92" s="38" t="n"/>
      <c r="N92" s="39" t="n"/>
      <c r="O92" s="25" t="inlineStr">
        <is>
          <t>D</t>
        </is>
      </c>
      <c r="P92" s="25" t="inlineStr">
        <is>
          <t>Le monarque, l'asclepiade, et l'idee qu'il faut la rendre payante</t>
        </is>
      </c>
      <c r="Q92" s="25" t="inlineStr">
        <is>
          <t>Bonjour Quentin,</t>
        </is>
      </c>
      <c r="R92" s="25" t="inlineStr">
        <is>
          <t>Adresse personnelle : individualiser vraiment</t>
        </is>
      </c>
      <c r="S92" s="46" t="inlineStr">
        <is>
          <t>Bonjour Quentin,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93" ht="15" customHeight="1" s="26">
      <c r="A93" s="43" t="inlineStr">
        <is>
          <t>B</t>
        </is>
      </c>
      <c r="B93" s="36" t="inlineStr">
        <is>
          <t>Ève</t>
        </is>
      </c>
      <c r="C93" s="36" t="inlineStr">
        <is>
          <t>Dumas</t>
        </is>
      </c>
      <c r="D93" s="37" t="inlineStr">
        <is>
          <t>Reporter</t>
        </is>
      </c>
      <c r="E93" s="36" t="inlineStr">
        <is>
          <t>La Presse</t>
        </is>
      </c>
      <c r="F93" s="36" t="inlineStr">
        <is>
          <t>edumas@lapresse.ca</t>
        </is>
      </c>
      <c r="G93" s="36" t="inlineStr">
        <is>
          <t>514 285-7070</t>
        </is>
      </c>
      <c r="H93" s="36" t="inlineStr">
        <is>
          <t>Montréal</t>
        </is>
      </c>
      <c r="I93" s="37" t="inlineStr">
        <is>
          <t>Agriculture; Art de vivre; Consommation</t>
        </is>
      </c>
      <c r="J93" s="36" t="n"/>
      <c r="K93" s="42" t="inlineStr">
        <is>
          <t>Ouvrir</t>
        </is>
      </c>
      <c r="L93" s="38" t="n"/>
      <c r="M93" s="38" t="n"/>
      <c r="N93" s="39" t="n"/>
      <c r="O93" s="25" t="inlineStr">
        <is>
          <t>C</t>
        </is>
      </c>
      <c r="P93" s="25" t="inlineStr">
        <is>
          <t>L'asclepiade, huit ans apres l'effondrement de la filiere</t>
        </is>
      </c>
      <c r="Q93" s="25" t="inlineStr">
        <is>
          <t>Bonjour Ève,</t>
        </is>
      </c>
      <c r="S93" s="46" t="inlineStr">
        <is>
          <t>Bonjour Ève,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94" ht="15" customHeight="1" s="26">
      <c r="A94" s="43" t="inlineStr">
        <is>
          <t>B</t>
        </is>
      </c>
      <c r="B94" s="36" t="inlineStr">
        <is>
          <t>Michel</t>
        </is>
      </c>
      <c r="C94" s="36" t="inlineStr">
        <is>
          <t>Fortier</t>
        </is>
      </c>
      <c r="D94" s="37" t="inlineStr">
        <is>
          <t>Rédacteur en chef</t>
        </is>
      </c>
      <c r="E94" s="36" t="inlineStr">
        <is>
          <t>Journal des Citoyens</t>
        </is>
      </c>
      <c r="F94" s="36" t="inlineStr">
        <is>
          <t>mfortier@edprev.com</t>
        </is>
      </c>
      <c r="G94" s="36" t="inlineStr">
        <is>
          <t>450 602-2794</t>
        </is>
      </c>
      <c r="H94" s="36" t="inlineStr">
        <is>
          <t>Laurentides</t>
        </is>
      </c>
      <c r="I94" s="37" t="inlineStr">
        <is>
          <t>Art de vivre; Environnement; Plein air</t>
        </is>
      </c>
      <c r="J94" s="36" t="n"/>
      <c r="K94" s="42" t="inlineStr">
        <is>
          <t>Ouvrir</t>
        </is>
      </c>
      <c r="L94" s="38" t="n"/>
      <c r="M94" s="38" t="n"/>
      <c r="N94" s="39" t="n"/>
      <c r="O94" s="25" t="inlineStr">
        <is>
          <t>B</t>
        </is>
      </c>
      <c r="P94" s="25" t="inlineStr">
        <is>
          <t>Laurentides : Lasclay au premier episode de la 21e saison de Dragons' Den</t>
        </is>
      </c>
      <c r="Q94" s="25" t="inlineStr">
        <is>
          <t>Bonjour Michel,</t>
        </is>
      </c>
      <c r="S94" s="46" t="inlineStr">
        <is>
          <t>Bonjour Michel,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95" ht="15" customHeight="1" s="26">
      <c r="A95" s="43" t="inlineStr">
        <is>
          <t>B</t>
        </is>
      </c>
      <c r="B95" s="36" t="inlineStr">
        <is>
          <t>Marie-Eve</t>
        </is>
      </c>
      <c r="C95" s="36" t="inlineStr">
        <is>
          <t>Fournier</t>
        </is>
      </c>
      <c r="D95" s="37" t="inlineStr">
        <is>
          <t>Chroniqueuse</t>
        </is>
      </c>
      <c r="E95" s="36" t="inlineStr">
        <is>
          <t>La Presse</t>
        </is>
      </c>
      <c r="F95" s="36" t="inlineStr">
        <is>
          <t>mfournier@lapresse.ca</t>
        </is>
      </c>
      <c r="G95" s="36" t="inlineStr">
        <is>
          <t>514 285-7000, #4912</t>
        </is>
      </c>
      <c r="H95" s="36" t="inlineStr">
        <is>
          <t>Montréal</t>
        </is>
      </c>
      <c r="I95" s="37" t="inlineStr">
        <is>
          <t>Consommation; Économie</t>
        </is>
      </c>
      <c r="J95" s="36" t="n"/>
      <c r="K95" s="42" t="inlineStr">
        <is>
          <t>Ouvrir</t>
        </is>
      </c>
      <c r="L95" s="38" t="n"/>
      <c r="M95" s="38" t="n"/>
      <c r="N95" s="39" t="n"/>
      <c r="O95" s="25" t="inlineStr">
        <is>
          <t>E</t>
        </is>
      </c>
      <c r="P95" s="25" t="inlineStr">
        <is>
          <t>Une PME qui a rapatrie sa production, puis en a delocalise une partie</t>
        </is>
      </c>
      <c r="Q95" s="25" t="inlineStr">
        <is>
          <t>Bonjour Marie-Eve,</t>
        </is>
      </c>
      <c r="S95" s="46" t="inlineStr">
        <is>
          <t>Bonjour Marie-Eve,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96" ht="15" customHeight="1" s="26">
      <c r="A96" s="43" t="inlineStr">
        <is>
          <t>B</t>
        </is>
      </c>
      <c r="B96" s="36" t="inlineStr">
        <is>
          <t>Raymond</t>
        </is>
      </c>
      <c r="C96" s="36" t="inlineStr">
        <is>
          <t>Fournier</t>
        </is>
      </c>
      <c r="D96" s="37" t="inlineStr">
        <is>
          <t>Journaliste scientifique indépendant</t>
        </is>
      </c>
      <c r="E96" s="36" t="inlineStr">
        <is>
          <t>Agence Science Presse</t>
        </is>
      </c>
      <c r="F96" s="36" t="inlineStr">
        <is>
          <t>cosmos_management@hotmail.com</t>
        </is>
      </c>
      <c r="G96" s="36" t="inlineStr">
        <is>
          <t>15143474854</t>
        </is>
      </c>
      <c r="H96" s="36" t="inlineStr">
        <is>
          <t>Montérégie</t>
        </is>
      </c>
      <c r="I96" s="37" t="inlineStr">
        <is>
          <t>Environnement; Sciences</t>
        </is>
      </c>
      <c r="J96" s="36" t="n"/>
      <c r="K96" s="42" t="inlineStr">
        <is>
          <t>Ouvrir</t>
        </is>
      </c>
      <c r="L96" s="38" t="n"/>
      <c r="M96" s="38" t="n"/>
      <c r="N96" s="39" t="n"/>
      <c r="O96" s="25" t="inlineStr">
        <is>
          <t>B</t>
        </is>
      </c>
      <c r="P96" s="25" t="inlineStr">
        <is>
          <t>Montérégie : Lasclay au premier episode de la 21e saison de Dragons' Den</t>
        </is>
      </c>
      <c r="Q96" s="25" t="inlineStr">
        <is>
          <t>Bonjour Raymond,</t>
        </is>
      </c>
      <c r="R96" s="25" t="inlineStr">
        <is>
          <t>Adresse personnelle : individualiser vraiment</t>
        </is>
      </c>
      <c r="S96" s="46" t="inlineStr">
        <is>
          <t>Bonjour Raymond,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97" ht="15" customHeight="1" s="26">
      <c r="A97" s="43" t="inlineStr">
        <is>
          <t>B</t>
        </is>
      </c>
      <c r="B97" s="36" t="inlineStr">
        <is>
          <t>Marie-Pier</t>
        </is>
      </c>
      <c r="C97" s="36" t="inlineStr">
        <is>
          <t>Frappier</t>
        </is>
      </c>
      <c r="D97" s="37" t="inlineStr">
        <is>
          <t>Directrice de l'information</t>
        </is>
      </c>
      <c r="E97" s="36" t="inlineStr">
        <is>
          <t>Les Affaires</t>
        </is>
      </c>
      <c r="F97" s="36" t="inlineStr">
        <is>
          <t>marie-pier.frappier@groupecontex.ca</t>
        </is>
      </c>
      <c r="G97" s="36" t="inlineStr">
        <is>
          <t>514-569-9448</t>
        </is>
      </c>
      <c r="H97" s="36" t="inlineStr">
        <is>
          <t>Montréal</t>
        </is>
      </c>
      <c r="I97" s="37" t="inlineStr">
        <is>
          <t>Consommation; Économie</t>
        </is>
      </c>
      <c r="J97" s="36" t="n"/>
      <c r="K97" s="42" t="inlineStr">
        <is>
          <t>Ouvrir</t>
        </is>
      </c>
      <c r="L97" s="38" t="n"/>
      <c r="M97" s="38" t="n"/>
      <c r="N97" s="39" t="n"/>
      <c r="O97" s="25" t="inlineStr">
        <is>
          <t>E</t>
        </is>
      </c>
      <c r="P97" s="25" t="inlineStr">
        <is>
          <t>Une PME qui a rapatrie sa production, puis en a delocalise une partie</t>
        </is>
      </c>
      <c r="Q97" s="25" t="inlineStr">
        <is>
          <t>Bonjour Marie-Pier,</t>
        </is>
      </c>
      <c r="S97" s="46" t="inlineStr">
        <is>
          <t>Bonjour Marie-Pier,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98" ht="15" customHeight="1" s="26">
      <c r="A98" s="43" t="inlineStr">
        <is>
          <t>B</t>
        </is>
      </c>
      <c r="B98" s="36" t="inlineStr">
        <is>
          <t>Marie-Julie</t>
        </is>
      </c>
      <c r="C98" s="36" t="inlineStr">
        <is>
          <t>Gagnon</t>
        </is>
      </c>
      <c r="D98" s="37" t="inlineStr">
        <is>
          <t>Journaliste, chroniqueuse et recherchiste</t>
        </is>
      </c>
      <c r="E98" s="36" t="inlineStr">
        <is>
          <t>Pigiste</t>
        </is>
      </c>
      <c r="F98" s="36" t="inlineStr">
        <is>
          <t>mjtornado@gmail.com</t>
        </is>
      </c>
      <c r="G98" s="36" t="inlineStr">
        <is>
          <t>5145784989</t>
        </is>
      </c>
      <c r="H98" s="36" t="inlineStr">
        <is>
          <t>Montérégie</t>
        </is>
      </c>
      <c r="I98" s="37" t="inlineStr">
        <is>
          <t>Art de vivre; Environnement; Plein air</t>
        </is>
      </c>
      <c r="J98" s="36" t="n"/>
      <c r="K98" s="42" t="inlineStr">
        <is>
          <t>Ouvrir</t>
        </is>
      </c>
      <c r="L98" s="38" t="n"/>
      <c r="M98" s="38" t="n"/>
      <c r="N98" s="39" t="n"/>
      <c r="O98" s="25" t="inlineStr">
        <is>
          <t>I</t>
        </is>
      </c>
      <c r="P98" s="25" t="inlineStr">
        <is>
          <t>Invite disponible : Lasclay a Dragons' Den le 17 septembre</t>
        </is>
      </c>
      <c r="Q98" s="25" t="inlineStr">
        <is>
          <t>Bonjour Marie-Julie,</t>
        </is>
      </c>
      <c r="R98" s="25" t="inlineStr">
        <is>
          <t>Adresse personnelle : individualiser vraiment</t>
        </is>
      </c>
      <c r="S98" s="46" t="inlineStr">
        <is>
          <t>Bonjour Marie-Julie,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99" ht="15" customHeight="1" s="26">
      <c r="A99" s="43" t="inlineStr">
        <is>
          <t>B</t>
        </is>
      </c>
      <c r="B99" s="36" t="inlineStr">
        <is>
          <t>Chloé</t>
        </is>
      </c>
      <c r="C99" s="36" t="inlineStr">
        <is>
          <t>Germain-Thérien</t>
        </is>
      </c>
      <c r="D99" s="37" t="inlineStr">
        <is>
          <t>Caricaturiste</t>
        </is>
      </c>
      <c r="E99" s="36" t="inlineStr">
        <is>
          <t>Le Devoir</t>
        </is>
      </c>
      <c r="F99" s="36" t="inlineStr">
        <is>
          <t>cgermain@ledevoir.com</t>
        </is>
      </c>
      <c r="G99" s="36" t="inlineStr">
        <is>
          <t>514-462-4463</t>
        </is>
      </c>
      <c r="H99" s="36" t="inlineStr">
        <is>
          <t>Mauricie</t>
        </is>
      </c>
      <c r="I99" s="37" t="inlineStr">
        <is>
          <t>Agriculture; Environnement</t>
        </is>
      </c>
      <c r="J99" s="36" t="n"/>
      <c r="K99" s="42" t="inlineStr">
        <is>
          <t>Ouvrir</t>
        </is>
      </c>
      <c r="L99" s="38" t="n"/>
      <c r="M99" s="38" t="n"/>
      <c r="N99" s="39" t="n"/>
      <c r="O99" s="25" t="inlineStr">
        <is>
          <t>C</t>
        </is>
      </c>
      <c r="P99" s="25" t="inlineStr">
        <is>
          <t>L'asclepiade, huit ans apres l'effondrement de la filiere</t>
        </is>
      </c>
      <c r="Q99" s="25" t="inlineStr">
        <is>
          <t>Bonjour Chloé,</t>
        </is>
      </c>
      <c r="S99" s="46" t="inlineStr">
        <is>
          <t>Bonjour Chloé,
Vous êtes en Mauricie, où l'asclépiade a eu son usine et sa faillite : Saint-Tite
achetait 90 % des récoltes du Québec avant que Les Industries Encore 3 ferment.
On est l'entreprise qui a démarré après. On achète encore de l'asclépiade québécoise,
on transforme l'isolant à Limoilou, et le 17 septembre, Lasclay est dans le premier épisode de la 21e saison de Dragons' Den, sur CBC et CBC Gem.
Je ne peux pas dire comment ça s'est terminé avant la diffusion.
Il y a un sujet agricole réel là-dedans : les producteurs qui ont survécu à 2018 sont
encore là, et la question qu'ils posent n'a pas changé. Est-ce qu'il y a un acheteur
stable au bout du champ. Je peux répondre sans rien promettre que je ne peux tenir.</t>
        </is>
      </c>
    </row>
    <row r="100" ht="15" customHeight="1" s="26">
      <c r="A100" s="43" t="inlineStr">
        <is>
          <t>B</t>
        </is>
      </c>
      <c r="B100" s="36" t="inlineStr">
        <is>
          <t>Charlotte</t>
        </is>
      </c>
      <c r="C100" s="36" t="inlineStr">
        <is>
          <t>Glorieux</t>
        </is>
      </c>
      <c r="D100" s="37" t="inlineStr">
        <is>
          <t>journaliste pigiste</t>
        </is>
      </c>
      <c r="E100" s="36" t="inlineStr">
        <is>
          <t>Pigiste</t>
        </is>
      </c>
      <c r="F100" s="36" t="inlineStr">
        <is>
          <t>glorieux.charlotte@gmail.com</t>
        </is>
      </c>
      <c r="G100" s="36" t="inlineStr">
        <is>
          <t>4384910850</t>
        </is>
      </c>
      <c r="H100" s="36" t="inlineStr">
        <is>
          <t>Montréal</t>
        </is>
      </c>
      <c r="I100" s="37" t="inlineStr">
        <is>
          <t>Art de vivre; Environnement; Plein air</t>
        </is>
      </c>
      <c r="J100" s="36" t="n"/>
      <c r="K100" s="42" t="inlineStr">
        <is>
          <t>Ouvrir</t>
        </is>
      </c>
      <c r="L100" s="38" t="n"/>
      <c r="M100" s="38" t="n"/>
      <c r="N100" s="39" t="n"/>
      <c r="O100" s="25" t="inlineStr">
        <is>
          <t>F</t>
        </is>
      </c>
      <c r="P100" s="25" t="inlineStr">
        <is>
          <t>L'asclepiade contre le duvet, et ce que les tests disent vraiment</t>
        </is>
      </c>
      <c r="Q100" s="25" t="inlineStr">
        <is>
          <t>Bonjour Charlotte,</t>
        </is>
      </c>
      <c r="R100" s="25" t="inlineStr">
        <is>
          <t>Adresse personnelle : individualiser vraiment</t>
        </is>
      </c>
      <c r="S100" s="46" t="inlineStr">
        <is>
          <t>Bonjour Charlotte,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01" ht="15" customHeight="1" s="26">
      <c r="A101" s="43" t="inlineStr">
        <is>
          <t>B</t>
        </is>
      </c>
      <c r="B101" s="36" t="inlineStr">
        <is>
          <t>Annie</t>
        </is>
      </c>
      <c r="C101" s="36" t="inlineStr">
        <is>
          <t>Hudon</t>
        </is>
      </c>
      <c r="D101" s="37" t="inlineStr">
        <is>
          <t>Journaliste</t>
        </is>
      </c>
      <c r="E101" s="36" t="inlineStr">
        <is>
          <t>Radio-Canada (Montréal)</t>
        </is>
      </c>
      <c r="F101" s="36" t="inlineStr">
        <is>
          <t>annie.hudon-friceau@radio-canada.ca</t>
        </is>
      </c>
      <c r="G101" s="36" t="inlineStr">
        <is>
          <t>514 597-5000</t>
        </is>
      </c>
      <c r="H101" s="36" t="inlineStr">
        <is>
          <t>Montréal</t>
        </is>
      </c>
      <c r="I101" s="37" t="inlineStr">
        <is>
          <t>Consommation; Économie</t>
        </is>
      </c>
      <c r="J101" s="36" t="n"/>
      <c r="K101" s="42" t="inlineStr">
        <is>
          <t>Ouvrir</t>
        </is>
      </c>
      <c r="L101" s="38" t="n"/>
      <c r="M101" s="38" t="n"/>
      <c r="N101" s="39" t="n"/>
      <c r="O101" s="25" t="inlineStr">
        <is>
          <t>E</t>
        </is>
      </c>
      <c r="P101" s="25" t="inlineStr">
        <is>
          <t>Une PME qui a rapatrie sa production, puis en a delocalise une partie</t>
        </is>
      </c>
      <c r="Q101" s="25" t="inlineStr">
        <is>
          <t>Bonjour Annie,</t>
        </is>
      </c>
      <c r="S101" s="46" t="inlineStr">
        <is>
          <t>Bonjour Annie,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02" ht="15" customHeight="1" s="26">
      <c r="A102" s="43" t="inlineStr">
        <is>
          <t>B</t>
        </is>
      </c>
      <c r="B102" s="36" t="inlineStr">
        <is>
          <t>Ahmed</t>
        </is>
      </c>
      <c r="C102" s="36" t="inlineStr">
        <is>
          <t>Kouaou</t>
        </is>
      </c>
      <c r="D102" s="37" t="inlineStr">
        <is>
          <t>Journaliste</t>
        </is>
      </c>
      <c r="E102" s="36" t="inlineStr">
        <is>
          <t>Radio-Canada (Montréal)</t>
        </is>
      </c>
      <c r="F102" s="36" t="inlineStr">
        <is>
          <t>ahmed.kouaou@radio-canada.ca</t>
        </is>
      </c>
      <c r="G102" s="36" t="inlineStr">
        <is>
          <t>514 597-5057</t>
        </is>
      </c>
      <c r="H102" s="36" t="inlineStr">
        <is>
          <t>Montréal</t>
        </is>
      </c>
      <c r="I102" s="37" t="inlineStr">
        <is>
          <t>Environnement; Économie</t>
        </is>
      </c>
      <c r="J102" s="36" t="n"/>
      <c r="K102" s="42" t="inlineStr">
        <is>
          <t>Ouvrir</t>
        </is>
      </c>
      <c r="L102" s="38" t="n"/>
      <c r="M102" s="38" t="n"/>
      <c r="N102" s="39" t="n"/>
      <c r="O102" s="25" t="inlineStr">
        <is>
          <t>D</t>
        </is>
      </c>
      <c r="P102" s="25" t="inlineStr">
        <is>
          <t>Le monarque, l'asclepiade, et l'idee qu'il faut la rendre payante</t>
        </is>
      </c>
      <c r="Q102" s="25" t="inlineStr">
        <is>
          <t>Bonjour Ahmed,</t>
        </is>
      </c>
      <c r="S102" s="46" t="inlineStr">
        <is>
          <t>Bonjour Ahmed,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03" ht="15" customHeight="1" s="26">
      <c r="A103" s="43" t="inlineStr">
        <is>
          <t>B</t>
        </is>
      </c>
      <c r="B103" s="36" t="inlineStr">
        <is>
          <t>Tania</t>
        </is>
      </c>
      <c r="C103" s="36" t="inlineStr">
        <is>
          <t>Krywiak</t>
        </is>
      </c>
      <c r="D103" s="37" t="inlineStr">
        <is>
          <t>Managing Editor CTV Montreal and CJAD</t>
        </is>
      </c>
      <c r="E103" s="36" t="inlineStr">
        <is>
          <t>Bell Média</t>
        </is>
      </c>
      <c r="F103" s="36" t="inlineStr">
        <is>
          <t>tania.krywiak@bellmedia.ca</t>
        </is>
      </c>
      <c r="G103" s="36" t="n"/>
      <c r="H103" s="36" t="inlineStr">
        <is>
          <t>Montréal</t>
        </is>
      </c>
      <c r="I103" s="37" t="inlineStr">
        <is>
          <t>Consommation; Sciences</t>
        </is>
      </c>
      <c r="J103" s="36" t="n"/>
      <c r="K103" s="42" t="inlineStr">
        <is>
          <t>Ouvrir</t>
        </is>
      </c>
      <c r="L103" s="38" t="n"/>
      <c r="M103" s="38" t="n"/>
      <c r="N103" s="39" t="n"/>
      <c r="O103" s="25" t="inlineStr">
        <is>
          <t>D</t>
        </is>
      </c>
      <c r="P103" s="25" t="inlineStr">
        <is>
          <t>Le monarque, l'asclepiade, et l'idee qu'il faut la rendre payante</t>
        </is>
      </c>
      <c r="Q103" s="25" t="inlineStr">
        <is>
          <t>Bonjour Tania,</t>
        </is>
      </c>
      <c r="S103" s="46" t="inlineStr">
        <is>
          <t>Bonjour Tania,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04" ht="15" customHeight="1" s="26">
      <c r="A104" s="43" t="inlineStr">
        <is>
          <t>B</t>
        </is>
      </c>
      <c r="B104" s="36" t="inlineStr">
        <is>
          <t>Jacinthe</t>
        </is>
      </c>
      <c r="C104" s="36" t="inlineStr">
        <is>
          <t>Lafrance</t>
        </is>
      </c>
      <c r="D104" s="37" t="inlineStr">
        <is>
          <t>Journaliste</t>
        </is>
      </c>
      <c r="E104" s="36" t="inlineStr">
        <is>
          <t>Le Nouvelliste</t>
        </is>
      </c>
      <c r="F104" s="36" t="inlineStr">
        <is>
          <t>jlafrance@lenouvelliste.qc.ca</t>
        </is>
      </c>
      <c r="G104" s="36" t="inlineStr">
        <is>
          <t>819 376-2501</t>
        </is>
      </c>
      <c r="H104" s="36" t="inlineStr">
        <is>
          <t>Mauricie</t>
        </is>
      </c>
      <c r="I104" s="37" t="inlineStr">
        <is>
          <t>Consommation; Environnement</t>
        </is>
      </c>
      <c r="J104" s="36" t="n"/>
      <c r="K104" s="42" t="inlineStr">
        <is>
          <t>Ouvrir</t>
        </is>
      </c>
      <c r="L104" s="38" t="n"/>
      <c r="M104" s="38" t="n"/>
      <c r="N104" s="39" t="n"/>
      <c r="O104" s="25" t="inlineStr">
        <is>
          <t>B</t>
        </is>
      </c>
      <c r="P104" s="25" t="inlineStr">
        <is>
          <t>Mauricie : Lasclay au premier episode de la 21e saison de Dragons' Den</t>
        </is>
      </c>
      <c r="Q104" s="25" t="inlineStr">
        <is>
          <t>Bonjour Jacinthe,</t>
        </is>
      </c>
      <c r="S104" s="46" t="inlineStr">
        <is>
          <t>Bonjour Jacinthe,
Vous êtes en Mauricie, la région où l'asclépiade a eu son grand moment industriel avant
de tout perdre : l'usine de Saint-Tite achetait 90 % des récoltes du Québec, puis elle
a fermé.
On est l'entreprise qui a démarré après. On transforme la soie en isolant à Québec et
on en fait des manteaux, des mitaines, des sacs isothermes. le 17 septembre, Lasclay est dans le premier épisode de la 21e saison de Dragons' Den, sur CBC et CBC Gem.
Je ne peux pas dire comment ça s'est terminé avant la diffusion.
Côté consommation, la question que je trouve la plus honnête : est-ce qu'un produit en
asclépiade vaut son prix. Je peux y répondre en expliquant ce que la fibre fait
réellement, et ce qu'elle ne fait pas.</t>
        </is>
      </c>
    </row>
    <row r="105" ht="15" customHeight="1" s="26">
      <c r="A105" s="43" t="inlineStr">
        <is>
          <t>B</t>
        </is>
      </c>
      <c r="B105" s="36" t="inlineStr">
        <is>
          <t>Bruno</t>
        </is>
      </c>
      <c r="C105" s="36" t="inlineStr">
        <is>
          <t>Lamolet</t>
        </is>
      </c>
      <c r="D105" s="37" t="inlineStr">
        <is>
          <t>Journaliste et rédacteur en chef adjoint</t>
        </is>
      </c>
      <c r="E105" s="36" t="inlineStr">
        <is>
          <t>Québec Science</t>
        </is>
      </c>
      <c r="F105" s="36" t="inlineStr">
        <is>
          <t>blamolet@quebecscience.qc.ca</t>
        </is>
      </c>
      <c r="G105" s="36" t="inlineStr">
        <is>
          <t>514 429 1314</t>
        </is>
      </c>
      <c r="H105" s="36" t="inlineStr">
        <is>
          <t>Montérégie</t>
        </is>
      </c>
      <c r="I105" s="37" t="inlineStr">
        <is>
          <t>Plein air; Sciences</t>
        </is>
      </c>
      <c r="J105" s="36" t="n"/>
      <c r="K105" s="42" t="inlineStr">
        <is>
          <t>Ouvrir</t>
        </is>
      </c>
      <c r="L105" s="38" t="n"/>
      <c r="M105" s="38" t="n"/>
      <c r="N105" s="39" t="n"/>
      <c r="O105" s="25" t="inlineStr">
        <is>
          <t>F</t>
        </is>
      </c>
      <c r="P105" s="25" t="inlineStr">
        <is>
          <t>L'asclepiade contre le duvet, et ce que les tests disent vraiment</t>
        </is>
      </c>
      <c r="Q105" s="25" t="inlineStr">
        <is>
          <t>Bonjour Bruno,</t>
        </is>
      </c>
      <c r="S105" s="46" t="inlineStr">
        <is>
          <t>Bonjour Bruno,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06" ht="15" customHeight="1" s="26">
      <c r="A106" s="43" t="inlineStr">
        <is>
          <t>B</t>
        </is>
      </c>
      <c r="B106" s="36" t="inlineStr">
        <is>
          <t>Yvan</t>
        </is>
      </c>
      <c r="C106" s="36" t="inlineStr">
        <is>
          <t>Lamontagne</t>
        </is>
      </c>
      <c r="D106" s="37" t="inlineStr">
        <is>
          <t>Journaliste - reporter</t>
        </is>
      </c>
      <c r="E106" s="36" t="inlineStr">
        <is>
          <t>Radio-Canada (Montréal)</t>
        </is>
      </c>
      <c r="F106" s="36" t="inlineStr">
        <is>
          <t>yvan.lamontagne@radio-canada.ca</t>
        </is>
      </c>
      <c r="G106" s="36" t="inlineStr">
        <is>
          <t>514 597-3538</t>
        </is>
      </c>
      <c r="H106" s="36" t="inlineStr">
        <is>
          <t>Estrie</t>
        </is>
      </c>
      <c r="I106" s="37" t="inlineStr">
        <is>
          <t>Consommation; Économie</t>
        </is>
      </c>
      <c r="J106" s="36" t="n"/>
      <c r="K106" s="42" t="inlineStr">
        <is>
          <t>Ouvrir</t>
        </is>
      </c>
      <c r="L106" s="38" t="n"/>
      <c r="M106" s="38" t="n"/>
      <c r="N106" s="39" t="n"/>
      <c r="O106" s="25" t="inlineStr">
        <is>
          <t>E</t>
        </is>
      </c>
      <c r="P106" s="25" t="inlineStr">
        <is>
          <t>Une PME qui a rapatrie sa production, puis en a delocalise une partie</t>
        </is>
      </c>
      <c r="Q106" s="25" t="inlineStr">
        <is>
          <t>Bonjour Yvan,</t>
        </is>
      </c>
      <c r="S106" s="46" t="inlineStr">
        <is>
          <t>Bonjour Yvan,
Une des usines de transformation de l'asclépiade était à Granby. Elle a fermé avec le reste de la filière, et l'Estrie compte encore des producteurs de la plante.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07" ht="15" customHeight="1" s="26">
      <c r="A107" s="43" t="inlineStr">
        <is>
          <t>B</t>
        </is>
      </c>
      <c r="B107" s="36" t="inlineStr">
        <is>
          <t>Yves</t>
        </is>
      </c>
      <c r="C107" s="36" t="inlineStr">
        <is>
          <t>Langlois</t>
        </is>
      </c>
      <c r="D107" s="37" t="inlineStr">
        <is>
          <t>Journaliste - réalisateur</t>
        </is>
      </c>
      <c r="E107" s="36" t="inlineStr">
        <is>
          <t>Pigiste</t>
        </is>
      </c>
      <c r="F107" s="36" t="inlineStr">
        <is>
          <t>yves@lany.ca</t>
        </is>
      </c>
      <c r="G107" s="36" t="inlineStr">
        <is>
          <t>514-928-3209</t>
        </is>
      </c>
      <c r="H107" s="36" t="inlineStr">
        <is>
          <t>Estrie</t>
        </is>
      </c>
      <c r="I107" s="37" t="inlineStr">
        <is>
          <t>Art de vivre; Environnement; Plein air</t>
        </is>
      </c>
      <c r="J107" s="36" t="n"/>
      <c r="K107" s="42" t="inlineStr">
        <is>
          <t>Ouvrir</t>
        </is>
      </c>
      <c r="L107" s="38" t="n"/>
      <c r="M107" s="38" t="n"/>
      <c r="N107" s="39" t="n"/>
      <c r="O107" s="25" t="inlineStr">
        <is>
          <t>F</t>
        </is>
      </c>
      <c r="P107" s="25" t="inlineStr">
        <is>
          <t>L'asclepiade contre le duvet, et ce que les tests disent vraiment</t>
        </is>
      </c>
      <c r="Q107" s="25" t="inlineStr">
        <is>
          <t>Bonjour Yves,</t>
        </is>
      </c>
      <c r="R107" s="25" t="inlineStr">
        <is>
          <t>Adresse personnelle : individualiser vraiment</t>
        </is>
      </c>
      <c r="S107" s="46" t="inlineStr">
        <is>
          <t>Bonjour Yves,
Une des usines de transformation de l'asclépiade était à Granby. Elle a fermé avec le reste de la filière, et l'Estrie compte encore des producteurs de la plante.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08" ht="15" customHeight="1" s="26">
      <c r="A108" s="43" t="inlineStr">
        <is>
          <t>B</t>
        </is>
      </c>
      <c r="B108" s="36" t="inlineStr">
        <is>
          <t>Anne Marie</t>
        </is>
      </c>
      <c r="C108" s="36" t="inlineStr">
        <is>
          <t>Lecomte</t>
        </is>
      </c>
      <c r="D108" s="37" t="inlineStr">
        <is>
          <t>Journaliste</t>
        </is>
      </c>
      <c r="E108" s="36" t="inlineStr">
        <is>
          <t>Radio-Canada (Montréal)</t>
        </is>
      </c>
      <c r="F108" s="36" t="inlineStr">
        <is>
          <t>anne-marie.lecomte@radio-canada.ca</t>
        </is>
      </c>
      <c r="G108" s="36" t="inlineStr">
        <is>
          <t>514 597-7695</t>
        </is>
      </c>
      <c r="H108" s="36" t="inlineStr">
        <is>
          <t>Montréal</t>
        </is>
      </c>
      <c r="I108" s="37" t="inlineStr">
        <is>
          <t>Consommation; Économie</t>
        </is>
      </c>
      <c r="J108" s="36" t="n"/>
      <c r="K108" s="42" t="inlineStr">
        <is>
          <t>Ouvrir</t>
        </is>
      </c>
      <c r="L108" s="38" t="n"/>
      <c r="M108" s="38" t="n"/>
      <c r="N108" s="39" t="n"/>
      <c r="O108" s="25" t="inlineStr">
        <is>
          <t>E</t>
        </is>
      </c>
      <c r="P108" s="25" t="inlineStr">
        <is>
          <t>Une PME qui a rapatrie sa production, puis en a delocalise une partie</t>
        </is>
      </c>
      <c r="Q108" s="25" t="inlineStr">
        <is>
          <t>Bonjour Anne Marie,</t>
        </is>
      </c>
      <c r="S108" s="46" t="inlineStr">
        <is>
          <t>Bonjour Anne Marie,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09" ht="15" customHeight="1" s="26">
      <c r="A109" s="43" t="inlineStr">
        <is>
          <t>B</t>
        </is>
      </c>
      <c r="B109" s="36" t="inlineStr">
        <is>
          <t>Stéphanie</t>
        </is>
      </c>
      <c r="C109" s="36" t="inlineStr">
        <is>
          <t>Mac Farlane</t>
        </is>
      </c>
      <c r="D109" s="37" t="inlineStr">
        <is>
          <t>Rédactrice en chef</t>
        </is>
      </c>
      <c r="E109" s="36" t="inlineStr">
        <is>
          <t>Le Canada Français</t>
        </is>
      </c>
      <c r="F109" s="36" t="inlineStr">
        <is>
          <t>smacfarlane@canadafrancais.com</t>
        </is>
      </c>
      <c r="G109" s="36" t="inlineStr">
        <is>
          <t>450 347-0323 *2213</t>
        </is>
      </c>
      <c r="H109" s="36" t="inlineStr">
        <is>
          <t>Montérégie</t>
        </is>
      </c>
      <c r="I109" s="37" t="inlineStr">
        <is>
          <t>Consommation; Économie</t>
        </is>
      </c>
      <c r="J109" s="36" t="n"/>
      <c r="K109" s="42" t="inlineStr">
        <is>
          <t>Ouvrir</t>
        </is>
      </c>
      <c r="L109" s="38" t="n"/>
      <c r="M109" s="38" t="n"/>
      <c r="N109" s="39" t="n"/>
      <c r="O109" s="25" t="inlineStr">
        <is>
          <t>B</t>
        </is>
      </c>
      <c r="P109" s="25" t="inlineStr">
        <is>
          <t>Montérégie : Lasclay au premier episode de la 21e saison de Dragons' Den</t>
        </is>
      </c>
      <c r="Q109" s="25" t="inlineStr">
        <is>
          <t>Bonjour Stéphanie,</t>
        </is>
      </c>
      <c r="S109" s="46" t="inlineStr">
        <is>
          <t>Bonjour Stéphanie,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10" ht="15" customHeight="1" s="26">
      <c r="A110" s="43" t="inlineStr">
        <is>
          <t>B</t>
        </is>
      </c>
      <c r="B110" s="36" t="inlineStr">
        <is>
          <t>Philippe</t>
        </is>
      </c>
      <c r="C110" s="36" t="inlineStr">
        <is>
          <t>Marois</t>
        </is>
      </c>
      <c r="D110" s="37" t="inlineStr">
        <is>
          <t>Journaliste - Réalisateur</t>
        </is>
      </c>
      <c r="E110" s="36" t="inlineStr">
        <is>
          <t>Radio-Canada (Radio - Montréal)</t>
        </is>
      </c>
      <c r="F110" s="36" t="inlineStr">
        <is>
          <t>phil.marois@gmail.com</t>
        </is>
      </c>
      <c r="G110" s="36" t="inlineStr">
        <is>
          <t>514-945-3600</t>
        </is>
      </c>
      <c r="H110" s="36" t="inlineStr">
        <is>
          <t>Montérégie</t>
        </is>
      </c>
      <c r="I110" s="37" t="inlineStr">
        <is>
          <t>Environnement; Sciences</t>
        </is>
      </c>
      <c r="J110" s="36" t="n"/>
      <c r="K110" s="42" t="inlineStr">
        <is>
          <t>Ouvrir</t>
        </is>
      </c>
      <c r="L110" s="38" t="n"/>
      <c r="M110" s="38" t="n"/>
      <c r="N110" s="39" t="n"/>
      <c r="O110" s="25" t="inlineStr">
        <is>
          <t>I</t>
        </is>
      </c>
      <c r="P110" s="25" t="inlineStr">
        <is>
          <t>Invite disponible : Lasclay a Dragons' Den le 17 septembre</t>
        </is>
      </c>
      <c r="Q110" s="25" t="inlineStr">
        <is>
          <t>Bonjour Philippe,</t>
        </is>
      </c>
      <c r="R110" s="25" t="inlineStr">
        <is>
          <t>Adresse personnelle : individualiser vraiment</t>
        </is>
      </c>
      <c r="S110" s="46" t="inlineStr">
        <is>
          <t>Bonjour Philippe,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11" ht="15" customHeight="1" s="26">
      <c r="A111" s="43" t="inlineStr">
        <is>
          <t>B</t>
        </is>
      </c>
      <c r="B111" s="36" t="inlineStr">
        <is>
          <t>Gildas</t>
        </is>
      </c>
      <c r="C111" s="36" t="inlineStr">
        <is>
          <t>Meneu</t>
        </is>
      </c>
      <c r="D111" s="37" t="inlineStr">
        <is>
          <t>Journaliste à la recherche</t>
        </is>
      </c>
      <c r="E111" s="36" t="inlineStr">
        <is>
          <t>Radio-Canada (Montréal)</t>
        </is>
      </c>
      <c r="F111" s="36" t="inlineStr">
        <is>
          <t>gildas.meneu@radio-canada.ca</t>
        </is>
      </c>
      <c r="G111" s="36" t="inlineStr">
        <is>
          <t>514 597-4979</t>
        </is>
      </c>
      <c r="H111" s="36" t="inlineStr">
        <is>
          <t>Montréal</t>
        </is>
      </c>
      <c r="I111" s="37" t="inlineStr">
        <is>
          <t>Agriculture; Art de vivre; Consommation</t>
        </is>
      </c>
      <c r="J111" s="36" t="n"/>
      <c r="K111" s="42" t="inlineStr">
        <is>
          <t>Ouvrir</t>
        </is>
      </c>
      <c r="L111" s="38" t="n"/>
      <c r="M111" s="38" t="n"/>
      <c r="N111" s="39" t="n"/>
      <c r="O111" s="25" t="inlineStr">
        <is>
          <t>C</t>
        </is>
      </c>
      <c r="P111" s="25" t="inlineStr">
        <is>
          <t>L'asclepiade, huit ans apres l'effondrement de la filiere</t>
        </is>
      </c>
      <c r="Q111" s="25" t="inlineStr">
        <is>
          <t>Bonjour Gildas,</t>
        </is>
      </c>
      <c r="S111" s="46" t="inlineStr">
        <is>
          <t>Bonjour Gildas,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112" ht="15" customHeight="1" s="26">
      <c r="A112" s="43" t="inlineStr">
        <is>
          <t>B</t>
        </is>
      </c>
      <c r="B112" s="36" t="inlineStr">
        <is>
          <t>Louis-Xavier</t>
        </is>
      </c>
      <c r="C112" s="36" t="inlineStr">
        <is>
          <t>Michaud</t>
        </is>
      </c>
      <c r="D112" s="37" t="inlineStr">
        <is>
          <t>Journaliste au pupitre</t>
        </is>
      </c>
      <c r="E112" s="36" t="inlineStr">
        <is>
          <t>TopoLocal</t>
        </is>
      </c>
      <c r="F112" s="36" t="inlineStr">
        <is>
          <t>lxm@topolocal.ca</t>
        </is>
      </c>
      <c r="G112" s="36" t="inlineStr">
        <is>
          <t>514 285-7000</t>
        </is>
      </c>
      <c r="H112" s="36" t="inlineStr">
        <is>
          <t>Laurentides</t>
        </is>
      </c>
      <c r="I112" s="37" t="inlineStr">
        <is>
          <t>Environnement; Sciences</t>
        </is>
      </c>
      <c r="J112" s="36" t="n"/>
      <c r="K112" s="42" t="inlineStr">
        <is>
          <t>Ouvrir</t>
        </is>
      </c>
      <c r="L112" s="38" t="n"/>
      <c r="M112" s="38" t="n"/>
      <c r="N112" s="39" t="n"/>
      <c r="O112" s="25" t="inlineStr">
        <is>
          <t>B</t>
        </is>
      </c>
      <c r="P112" s="25" t="inlineStr">
        <is>
          <t>Laurentides : Lasclay au premier episode de la 21e saison de Dragons' Den</t>
        </is>
      </c>
      <c r="Q112" s="25" t="inlineStr">
        <is>
          <t>Bonjour Louis-Xavier,</t>
        </is>
      </c>
      <c r="S112" s="46" t="inlineStr">
        <is>
          <t>Bonjour Louis-Xavier,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13" ht="15" customHeight="1" s="26">
      <c r="A113" s="43" t="inlineStr">
        <is>
          <t>B</t>
        </is>
      </c>
      <c r="B113" s="36" t="inlineStr">
        <is>
          <t>Anne</t>
        </is>
      </c>
      <c r="C113" s="36" t="inlineStr">
        <is>
          <t>Montplaisir</t>
        </is>
      </c>
      <c r="D113" s="37" t="inlineStr">
        <is>
          <t>Journaliste et édimestre</t>
        </is>
      </c>
      <c r="E113" s="36" t="inlineStr">
        <is>
          <t>Pigiste</t>
        </is>
      </c>
      <c r="F113" s="36" t="inlineStr">
        <is>
          <t>anne.montplaisir@radio-canada.ca</t>
        </is>
      </c>
      <c r="G113" s="36" t="n"/>
      <c r="H113" s="36" t="inlineStr">
        <is>
          <t>Montréal</t>
        </is>
      </c>
      <c r="I113" s="37" t="inlineStr">
        <is>
          <t>Environnement; Plein air</t>
        </is>
      </c>
      <c r="J113" s="36" t="n"/>
      <c r="K113" s="42" t="inlineStr">
        <is>
          <t>Ouvrir</t>
        </is>
      </c>
      <c r="L113" s="38" t="n"/>
      <c r="M113" s="38" t="n"/>
      <c r="N113" s="39" t="n"/>
      <c r="O113" s="25" t="inlineStr">
        <is>
          <t>F</t>
        </is>
      </c>
      <c r="P113" s="25" t="inlineStr">
        <is>
          <t>L'asclepiade contre le duvet, et ce que les tests disent vraiment</t>
        </is>
      </c>
      <c r="Q113" s="25" t="inlineStr">
        <is>
          <t>Bonjour Anne,</t>
        </is>
      </c>
      <c r="R113" s="25" t="inlineStr">
        <is>
          <t>Adresse personnelle : individualiser vraiment</t>
        </is>
      </c>
      <c r="S113" s="46" t="inlineStr">
        <is>
          <t>Bonjour Anne,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14" ht="15" customHeight="1" s="26">
      <c r="A114" s="43" t="inlineStr">
        <is>
          <t>B</t>
        </is>
      </c>
      <c r="B114" s="36" t="inlineStr">
        <is>
          <t>Karianne</t>
        </is>
      </c>
      <c r="C114" s="36" t="inlineStr">
        <is>
          <t>Nepton-Philippe</t>
        </is>
      </c>
      <c r="D114" s="37" t="inlineStr">
        <is>
          <t>Journaliste</t>
        </is>
      </c>
      <c r="E114" s="36" t="inlineStr">
        <is>
          <t>Journal Le Manic</t>
        </is>
      </c>
      <c r="F114" s="36" t="inlineStr">
        <is>
          <t>knphilippe@lemanic.ca</t>
        </is>
      </c>
      <c r="G114" s="36" t="inlineStr">
        <is>
          <t>4182827049</t>
        </is>
      </c>
      <c r="H114" s="36" t="inlineStr">
        <is>
          <t>Est-du-Québec</t>
        </is>
      </c>
      <c r="I114" s="37" t="inlineStr">
        <is>
          <t>Environnement; Économie</t>
        </is>
      </c>
      <c r="J114" s="36" t="n"/>
      <c r="K114" s="42" t="inlineStr">
        <is>
          <t>Ouvrir</t>
        </is>
      </c>
      <c r="L114" s="38" t="n"/>
      <c r="M114" s="38" t="n"/>
      <c r="N114" s="39" t="n"/>
      <c r="O114" s="25" t="inlineStr">
        <is>
          <t>B</t>
        </is>
      </c>
      <c r="P114" s="25" t="inlineStr">
        <is>
          <t>Est-du-Québec : Lasclay au premier episode de la 21e saison de Dragons' Den</t>
        </is>
      </c>
      <c r="Q114" s="25" t="inlineStr">
        <is>
          <t>Bonjour Karianne,</t>
        </is>
      </c>
      <c r="S114" s="46" t="inlineStr">
        <is>
          <t>Bonjour Karianne,
L'asclépiade est une vivace indigène qui pousse avec peu d'intrants, ce qui la rend intéressante pour des régions où les cultures conventionnelles rendent mal.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15" ht="15" customHeight="1" s="26">
      <c r="A115" s="43" t="inlineStr">
        <is>
          <t>B</t>
        </is>
      </c>
      <c r="B115" s="36" t="inlineStr">
        <is>
          <t>Geneviève</t>
        </is>
      </c>
      <c r="C115" s="36" t="inlineStr">
        <is>
          <t>Normand</t>
        </is>
      </c>
      <c r="D115" s="37" t="inlineStr">
        <is>
          <t>Journaliste</t>
        </is>
      </c>
      <c r="E115" s="36" t="inlineStr">
        <is>
          <t>Agence France Presse</t>
        </is>
      </c>
      <c r="F115" s="36" t="inlineStr">
        <is>
          <t>genevieve.normand@afp.com</t>
        </is>
      </c>
      <c r="G115" s="36" t="inlineStr">
        <is>
          <t>5149788562</t>
        </is>
      </c>
      <c r="H115" s="36" t="inlineStr">
        <is>
          <t>Montérégie</t>
        </is>
      </c>
      <c r="I115" s="37" t="inlineStr">
        <is>
          <t>Environnement; Économie</t>
        </is>
      </c>
      <c r="J115" s="36" t="n"/>
      <c r="K115" s="42" t="inlineStr">
        <is>
          <t>Ouvrir</t>
        </is>
      </c>
      <c r="L115" s="38" t="n"/>
      <c r="M115" s="38" t="n"/>
      <c r="N115" s="39" t="n"/>
      <c r="O115" s="25" t="inlineStr">
        <is>
          <t>B</t>
        </is>
      </c>
      <c r="P115" s="25" t="inlineStr">
        <is>
          <t>Montérégie : Lasclay au premier episode de la 21e saison de Dragons' Den</t>
        </is>
      </c>
      <c r="Q115" s="25" t="inlineStr">
        <is>
          <t>Bonjour Geneviève,</t>
        </is>
      </c>
      <c r="S115" s="46" t="inlineStr">
        <is>
          <t>Bonjour Geneviève,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16" ht="15" customHeight="1" s="26">
      <c r="A116" s="43" t="inlineStr">
        <is>
          <t>B</t>
        </is>
      </c>
      <c r="B116" s="36" t="inlineStr">
        <is>
          <t>Carole</t>
        </is>
      </c>
      <c r="C116" s="36" t="inlineStr">
        <is>
          <t>Payer</t>
        </is>
      </c>
      <c r="D116" s="37" t="inlineStr">
        <is>
          <t>journaliste, chroniqueure, redactrice, recherchiste</t>
        </is>
      </c>
      <c r="E116" s="36" t="inlineStr">
        <is>
          <t>Pigiste</t>
        </is>
      </c>
      <c r="F116" s="36" t="inlineStr">
        <is>
          <t>universcp@gmail.com</t>
        </is>
      </c>
      <c r="G116" s="36" t="inlineStr">
        <is>
          <t>4186638589</t>
        </is>
      </c>
      <c r="H116" s="36" t="inlineStr">
        <is>
          <t>Centre-du-Québec</t>
        </is>
      </c>
      <c r="I116" s="37" t="inlineStr">
        <is>
          <t>Art de vivre; Consommation; Sciences</t>
        </is>
      </c>
      <c r="J116" s="36" t="n"/>
      <c r="K116" s="42" t="inlineStr">
        <is>
          <t>Ouvrir</t>
        </is>
      </c>
      <c r="L116" s="38" t="n"/>
      <c r="M116" s="38" t="n"/>
      <c r="N116" s="39" t="n"/>
      <c r="O116" s="25" t="inlineStr">
        <is>
          <t>I</t>
        </is>
      </c>
      <c r="P116" s="25" t="inlineStr">
        <is>
          <t>Invite disponible : Lasclay a Dragons' Den le 17 septembre</t>
        </is>
      </c>
      <c r="Q116" s="25" t="inlineStr">
        <is>
          <t>Bonjour Carole,</t>
        </is>
      </c>
      <c r="R116" s="25" t="inlineStr">
        <is>
          <t>Adresse personnelle : individualiser vraiment</t>
        </is>
      </c>
      <c r="S116" s="46" t="inlineStr">
        <is>
          <t>Bonjour Carole,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17" ht="15" customHeight="1" s="26">
      <c r="A117" s="43" t="inlineStr">
        <is>
          <t>B</t>
        </is>
      </c>
      <c r="B117" s="36" t="inlineStr">
        <is>
          <t>Boris</t>
        </is>
      </c>
      <c r="C117" s="36" t="inlineStr">
        <is>
          <t>Proulx</t>
        </is>
      </c>
      <c r="D117" s="37" t="inlineStr">
        <is>
          <t>Correspondant parlementaire à Ottawa</t>
        </is>
      </c>
      <c r="E117" s="36" t="inlineStr">
        <is>
          <t>Le Devoir</t>
        </is>
      </c>
      <c r="F117" s="36" t="inlineStr">
        <is>
          <t>bproulx@ledevoir.com</t>
        </is>
      </c>
      <c r="G117" s="36" t="inlineStr">
        <is>
          <t>514 985-3416</t>
        </is>
      </c>
      <c r="H117" s="36" t="inlineStr">
        <is>
          <t>Ontario</t>
        </is>
      </c>
      <c r="I117" s="37" t="inlineStr">
        <is>
          <t>Environnement; Économie</t>
        </is>
      </c>
      <c r="J117" s="36" t="n"/>
      <c r="K117" s="42" t="inlineStr">
        <is>
          <t>Ouvrir</t>
        </is>
      </c>
      <c r="L117" s="38" t="n"/>
      <c r="M117" s="38" t="n"/>
      <c r="N117" s="39" t="n"/>
      <c r="O117" s="25" t="inlineStr">
        <is>
          <t>D</t>
        </is>
      </c>
      <c r="P117" s="25" t="inlineStr">
        <is>
          <t>Le monarque, l'asclepiade, et l'idee qu'il faut la rendre payante</t>
        </is>
      </c>
      <c r="Q117" s="25" t="inlineStr">
        <is>
          <t>Bonjour Boris,</t>
        </is>
      </c>
      <c r="S117" s="46" t="inlineStr">
        <is>
          <t>Bonjour Boris,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18" ht="15" customHeight="1" s="26">
      <c r="A118" s="43" t="inlineStr">
        <is>
          <t>B</t>
        </is>
      </c>
      <c r="B118" s="36" t="inlineStr">
        <is>
          <t>Philippe</t>
        </is>
      </c>
      <c r="C118" s="36" t="inlineStr">
        <is>
          <t>Robitaille-Grou</t>
        </is>
      </c>
      <c r="D118" s="37" t="inlineStr">
        <is>
          <t>Journaliste</t>
        </is>
      </c>
      <c r="E118" s="36" t="inlineStr">
        <is>
          <t>Radio-Canada</t>
        </is>
      </c>
      <c r="F118" s="36" t="inlineStr">
        <is>
          <t>philippe.robitaille-grou@radio-canada.ca</t>
        </is>
      </c>
      <c r="G118" s="36" t="n"/>
      <c r="H118" s="36" t="inlineStr">
        <is>
          <t>Montréal</t>
        </is>
      </c>
      <c r="I118" s="37" t="inlineStr">
        <is>
          <t>Environnement; Sciences</t>
        </is>
      </c>
      <c r="J118" s="36" t="n"/>
      <c r="K118" s="42" t="inlineStr">
        <is>
          <t>Ouvrir</t>
        </is>
      </c>
      <c r="L118" s="38" t="n"/>
      <c r="M118" s="38" t="n"/>
      <c r="N118" s="39" t="n"/>
      <c r="O118" s="25" t="inlineStr">
        <is>
          <t>D</t>
        </is>
      </c>
      <c r="P118" s="25" t="inlineStr">
        <is>
          <t>Le monarque, l'asclepiade, et l'idee qu'il faut la rendre payante</t>
        </is>
      </c>
      <c r="Q118" s="25" t="inlineStr">
        <is>
          <t>Bonjour Philippe,</t>
        </is>
      </c>
      <c r="S118" s="46" t="inlineStr">
        <is>
          <t>Bonjour Philippe,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19" ht="15" customHeight="1" s="26">
      <c r="A119" s="43" t="inlineStr">
        <is>
          <t>B</t>
        </is>
      </c>
      <c r="B119" s="36" t="inlineStr">
        <is>
          <t>Gwen</t>
        </is>
      </c>
      <c r="C119" s="36" t="inlineStr">
        <is>
          <t>Roley</t>
        </is>
      </c>
      <c r="D119" s="37" t="inlineStr">
        <is>
          <t>Journaliste</t>
        </is>
      </c>
      <c r="E119" s="36" t="inlineStr">
        <is>
          <t>Agence France Presse</t>
        </is>
      </c>
      <c r="F119" s="36" t="inlineStr">
        <is>
          <t>gwen.roley@afp.com</t>
        </is>
      </c>
      <c r="G119" s="36" t="n"/>
      <c r="H119" s="36" t="inlineStr">
        <is>
          <t>Montréal</t>
        </is>
      </c>
      <c r="I119" s="37" t="inlineStr">
        <is>
          <t>Environnement; Sciences</t>
        </is>
      </c>
      <c r="J119" s="36" t="n"/>
      <c r="K119" s="42" t="inlineStr">
        <is>
          <t>Ouvrir</t>
        </is>
      </c>
      <c r="L119" s="38" t="n"/>
      <c r="M119" s="38" t="n"/>
      <c r="N119" s="39" t="n"/>
      <c r="O119" s="25" t="inlineStr">
        <is>
          <t>D</t>
        </is>
      </c>
      <c r="P119" s="25" t="inlineStr">
        <is>
          <t>Le monarque, l'asclepiade, et l'idee qu'il faut la rendre payante</t>
        </is>
      </c>
      <c r="Q119" s="25" t="inlineStr">
        <is>
          <t>Bonjour Gwen,</t>
        </is>
      </c>
      <c r="S119" s="46" t="inlineStr">
        <is>
          <t>Bonjour Gwen,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20" ht="15" customHeight="1" s="26">
      <c r="A120" s="43" t="inlineStr">
        <is>
          <t>B</t>
        </is>
      </c>
      <c r="B120" s="36" t="inlineStr">
        <is>
          <t>Mathieu-Robert</t>
        </is>
      </c>
      <c r="C120" s="36" t="inlineStr">
        <is>
          <t>Sauvé</t>
        </is>
      </c>
      <c r="D120" s="37" t="inlineStr">
        <is>
          <t>Journaliste</t>
        </is>
      </c>
      <c r="E120" s="36" t="inlineStr">
        <is>
          <t>Le Journal de Montréal</t>
        </is>
      </c>
      <c r="F120" s="36" t="inlineStr">
        <is>
          <t>mathieu-robert.sauve@umontreal.ca</t>
        </is>
      </c>
      <c r="G120" s="36" t="n"/>
      <c r="H120" s="36" t="inlineStr">
        <is>
          <t>Montréal</t>
        </is>
      </c>
      <c r="I120" s="37" t="inlineStr">
        <is>
          <t>Environnement; Sciences</t>
        </is>
      </c>
      <c r="J120" s="36" t="n"/>
      <c r="K120" s="42" t="inlineStr">
        <is>
          <t>Ouvrir</t>
        </is>
      </c>
      <c r="L120" s="38" t="n"/>
      <c r="M120" s="38" t="n"/>
      <c r="N120" s="39" t="n"/>
      <c r="O120" s="25" t="inlineStr">
        <is>
          <t>D</t>
        </is>
      </c>
      <c r="P120" s="25" t="inlineStr">
        <is>
          <t>Le monarque, l'asclepiade, et l'idee qu'il faut la rendre payante</t>
        </is>
      </c>
      <c r="Q120" s="25" t="inlineStr">
        <is>
          <t>Bonjour Mathieu-Robert,</t>
        </is>
      </c>
      <c r="S120" s="46" t="inlineStr">
        <is>
          <t>Bonjour Mathieu-Robert,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21" ht="15" customHeight="1" s="26">
      <c r="A121" s="43" t="inlineStr">
        <is>
          <t>B</t>
        </is>
      </c>
      <c r="B121" s="36" t="inlineStr">
        <is>
          <t>Pierre</t>
        </is>
      </c>
      <c r="C121" s="36" t="inlineStr">
        <is>
          <t>St-Arnaud</t>
        </is>
      </c>
      <c r="D121" s="37" t="inlineStr">
        <is>
          <t>Reporter</t>
        </is>
      </c>
      <c r="E121" s="36" t="inlineStr">
        <is>
          <t>La Presse Canadienne</t>
        </is>
      </c>
      <c r="F121" s="36" t="inlineStr">
        <is>
          <t>pierre.st-arnaud@lapressecanadienne.com</t>
        </is>
      </c>
      <c r="G121" s="36" t="n"/>
      <c r="H121" s="36" t="inlineStr">
        <is>
          <t>Montréal</t>
        </is>
      </c>
      <c r="I121" s="37" t="inlineStr">
        <is>
          <t>Agriculture; Environnement</t>
        </is>
      </c>
      <c r="J121" s="36" t="n"/>
      <c r="K121" s="42" t="inlineStr">
        <is>
          <t>Ouvrir</t>
        </is>
      </c>
      <c r="L121" s="38" t="n"/>
      <c r="M121" s="38" t="n"/>
      <c r="N121" s="39" t="n"/>
      <c r="O121" s="25" t="inlineStr">
        <is>
          <t>C</t>
        </is>
      </c>
      <c r="P121" s="25" t="inlineStr">
        <is>
          <t>L'asclepiade, huit ans apres l'effondrement de la filiere</t>
        </is>
      </c>
      <c r="Q121" s="25" t="inlineStr">
        <is>
          <t>Bonjour Pierre,</t>
        </is>
      </c>
      <c r="S121" s="46" t="inlineStr">
        <is>
          <t>Bonjour Pierre,
En 2018, la filière québécoise de l'asclépiade s'est effondrée et des producteurs ont retourné leurs champs. Huit ans plus tard, on achète encore de l'asclépiade québécoise et on la transforme nous-mêmes à Québec.
Le 17 septembre, Lasclay est dans le premier épisode de la 21e saison de Dragons' Den, sur CBC et CBC Gem.
Je ne peux pas dire comment ça s'est terminé avant la diffusion.
Ce n'est pas la télévision qui devrait intéresser vos lecteurs. Le sujet, c'est plutôt : est-ce qu'il y a enfin un acheteur stable au bout du champ, et à quelles conditions. Je peux parler des volumes, de la fenêtre de récolte et de ce qui bloque encore côté mécanisation, sans rien promettre que je ne peux pas tenir.</t>
        </is>
      </c>
    </row>
    <row r="122" ht="15" customHeight="1" s="26">
      <c r="A122" s="43" t="inlineStr">
        <is>
          <t>B</t>
        </is>
      </c>
      <c r="B122" s="36" t="inlineStr">
        <is>
          <t>Katherine</t>
        </is>
      </c>
      <c r="C122" s="36" t="inlineStr">
        <is>
          <t>Tremblay</t>
        </is>
      </c>
      <c r="D122" s="37" t="inlineStr">
        <is>
          <t>journaliste</t>
        </is>
      </c>
      <c r="E122" s="36" t="inlineStr">
        <is>
          <t>Radio-Canada (Montréal)</t>
        </is>
      </c>
      <c r="F122" s="36" t="inlineStr">
        <is>
          <t>katherine.tremblay@radio-canada.ca</t>
        </is>
      </c>
      <c r="G122" s="36" t="n"/>
      <c r="H122" s="36" t="inlineStr">
        <is>
          <t>Montérégie</t>
        </is>
      </c>
      <c r="I122" s="37" t="inlineStr">
        <is>
          <t>Consommation; Économie</t>
        </is>
      </c>
      <c r="J122" s="36" t="n"/>
      <c r="K122" s="42" t="inlineStr">
        <is>
          <t>Ouvrir</t>
        </is>
      </c>
      <c r="L122" s="38" t="n"/>
      <c r="M122" s="38" t="n"/>
      <c r="N122" s="39" t="n"/>
      <c r="O122" s="25" t="inlineStr">
        <is>
          <t>E</t>
        </is>
      </c>
      <c r="P122" s="25" t="inlineStr">
        <is>
          <t>Une PME qui a rapatrie sa production, puis en a delocalise une partie</t>
        </is>
      </c>
      <c r="Q122" s="25" t="inlineStr">
        <is>
          <t>Bonjour Katherine,</t>
        </is>
      </c>
      <c r="S122" s="46" t="inlineStr">
        <is>
          <t>Bonjour Katherine,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23" ht="15" customHeight="1" s="26">
      <c r="A123" s="43" t="inlineStr">
        <is>
          <t>B</t>
        </is>
      </c>
      <c r="B123" s="36" t="inlineStr">
        <is>
          <t>Michel</t>
        </is>
      </c>
      <c r="C123" s="36" t="inlineStr">
        <is>
          <t>Tremblay</t>
        </is>
      </c>
      <c r="D123" s="37" t="inlineStr">
        <is>
          <t>Photojournaliste</t>
        </is>
      </c>
      <c r="E123" s="36" t="inlineStr">
        <is>
          <t>Pigiste</t>
        </is>
      </c>
      <c r="F123" s="36" t="inlineStr">
        <is>
          <t>miczoom@gmail.com</t>
        </is>
      </c>
      <c r="G123" s="36" t="inlineStr">
        <is>
          <t>4185409506</t>
        </is>
      </c>
      <c r="H123" s="36" t="inlineStr">
        <is>
          <t>Centre-du-Québec</t>
        </is>
      </c>
      <c r="I123" s="37" t="inlineStr">
        <is>
          <t>Environnement; Plein air</t>
        </is>
      </c>
      <c r="J123" s="36" t="n"/>
      <c r="K123" s="42" t="inlineStr">
        <is>
          <t>Ouvrir</t>
        </is>
      </c>
      <c r="L123" s="38" t="n"/>
      <c r="M123" s="38" t="n"/>
      <c r="N123" s="39" t="n"/>
      <c r="O123" s="25" t="inlineStr">
        <is>
          <t>F</t>
        </is>
      </c>
      <c r="P123" s="25" t="inlineStr">
        <is>
          <t>L'asclepiade contre le duvet, et ce que les tests disent vraiment</t>
        </is>
      </c>
      <c r="Q123" s="25" t="inlineStr">
        <is>
          <t>Bonjour Michel,</t>
        </is>
      </c>
      <c r="R123" s="25" t="inlineStr">
        <is>
          <t>Adresse personnelle : individualiser vraiment</t>
        </is>
      </c>
      <c r="S123" s="46" t="inlineStr">
        <is>
          <t>Bonjour Michel,
L'asclépiade se cultive dans votre région depuis la première vague de 2013, et plusieurs producteurs qui ont survécu à l'effondrement de la filière y sont encore.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24" ht="15" customHeight="1" s="26">
      <c r="A124" s="43" t="inlineStr">
        <is>
          <t>B</t>
        </is>
      </c>
      <c r="B124" s="36" t="inlineStr">
        <is>
          <t>Martin</t>
        </is>
      </c>
      <c r="C124" s="36" t="inlineStr">
        <is>
          <t>Vallières</t>
        </is>
      </c>
      <c r="D124" s="37" t="inlineStr">
        <is>
          <t>Reporter</t>
        </is>
      </c>
      <c r="E124" s="36" t="inlineStr">
        <is>
          <t>La Presse</t>
        </is>
      </c>
      <c r="F124" s="36" t="inlineStr">
        <is>
          <t>mvallier@lapresse.ca</t>
        </is>
      </c>
      <c r="G124" s="36" t="inlineStr">
        <is>
          <t>514 285-7000, #4884</t>
        </is>
      </c>
      <c r="H124" s="36" t="inlineStr">
        <is>
          <t>Montréal</t>
        </is>
      </c>
      <c r="I124" s="37" t="inlineStr">
        <is>
          <t>Consommation; Économie</t>
        </is>
      </c>
      <c r="J124" s="36" t="n"/>
      <c r="K124" s="42" t="inlineStr">
        <is>
          <t>Ouvrir</t>
        </is>
      </c>
      <c r="L124" s="38" t="n"/>
      <c r="M124" s="38" t="n"/>
      <c r="N124" s="39" t="n"/>
      <c r="O124" s="25" t="inlineStr">
        <is>
          <t>E</t>
        </is>
      </c>
      <c r="P124" s="25" t="inlineStr">
        <is>
          <t>Une PME qui a rapatrie sa production, puis en a delocalise une partie</t>
        </is>
      </c>
      <c r="Q124" s="25" t="inlineStr">
        <is>
          <t>Bonjour Martin,</t>
        </is>
      </c>
      <c r="S124" s="46" t="inlineStr">
        <is>
          <t>Bonjour Martin,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25" ht="15" customHeight="1" s="26">
      <c r="A125" s="43" t="inlineStr">
        <is>
          <t>B</t>
        </is>
      </c>
      <c r="B125" s="36" t="inlineStr">
        <is>
          <t>Yanick</t>
        </is>
      </c>
      <c r="C125" s="36" t="inlineStr">
        <is>
          <t>Villedieu</t>
        </is>
      </c>
      <c r="D125" s="37" t="inlineStr">
        <is>
          <t>Journaliste</t>
        </is>
      </c>
      <c r="E125" s="36" t="inlineStr">
        <is>
          <t>Radio-Canada (QC)</t>
        </is>
      </c>
      <c r="F125" s="36" t="inlineStr">
        <is>
          <t>villedieu.yanick@videotron.ca</t>
        </is>
      </c>
      <c r="G125" s="36" t="n"/>
      <c r="H125" s="36" t="inlineStr">
        <is>
          <t>Montréal</t>
        </is>
      </c>
      <c r="I125" s="37" t="inlineStr">
        <is>
          <t>Environnement; Sciences</t>
        </is>
      </c>
      <c r="J125" s="36" t="n"/>
      <c r="K125" s="42" t="inlineStr">
        <is>
          <t>Ouvrir</t>
        </is>
      </c>
      <c r="L125" s="38" t="n"/>
      <c r="M125" s="38" t="n"/>
      <c r="N125" s="39" t="n"/>
      <c r="O125" s="25" t="inlineStr">
        <is>
          <t>D</t>
        </is>
      </c>
      <c r="P125" s="25" t="inlineStr">
        <is>
          <t>Le monarque, l'asclepiade, et l'idee qu'il faut la rendre payante</t>
        </is>
      </c>
      <c r="Q125" s="25" t="inlineStr">
        <is>
          <t>Bonjour Yanick,</t>
        </is>
      </c>
      <c r="R125" s="25" t="inlineStr">
        <is>
          <t>Adresse personnelle : individualiser vraiment</t>
        </is>
      </c>
      <c r="S125" s="46" t="inlineStr">
        <is>
          <t>Bonjour Yanick,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26" ht="15" customHeight="1" s="26">
      <c r="A126" s="43" t="inlineStr">
        <is>
          <t>C</t>
        </is>
      </c>
      <c r="B126" s="36" t="inlineStr">
        <is>
          <t>Jonathan</t>
        </is>
      </c>
      <c r="C126" s="36" t="inlineStr">
        <is>
          <t>Allard</t>
        </is>
      </c>
      <c r="D126" s="37" t="inlineStr">
        <is>
          <t>Journaliste/pupitreur</t>
        </is>
      </c>
      <c r="E126" s="36" t="inlineStr">
        <is>
          <t>Le Devoir</t>
        </is>
      </c>
      <c r="F126" s="36" t="inlineStr">
        <is>
          <t>jallard@ledevoir.com</t>
        </is>
      </c>
      <c r="G126" s="36" t="inlineStr">
        <is>
          <t>514 985-3333</t>
        </is>
      </c>
      <c r="H126" s="36" t="inlineStr">
        <is>
          <t>Montréal</t>
        </is>
      </c>
      <c r="I126" s="37" t="inlineStr">
        <is>
          <t>Sciences</t>
        </is>
      </c>
      <c r="J126" s="36" t="n"/>
      <c r="K126" s="42" t="inlineStr">
        <is>
          <t>Ouvrir</t>
        </is>
      </c>
      <c r="L126" s="38" t="n"/>
      <c r="M126" s="38" t="n"/>
      <c r="N126" s="39" t="n"/>
      <c r="O126" s="25" t="inlineStr">
        <is>
          <t>D</t>
        </is>
      </c>
      <c r="P126" s="25" t="inlineStr">
        <is>
          <t>Le monarque, l'asclepiade, et l'idee qu'il faut la rendre payante</t>
        </is>
      </c>
      <c r="Q126" s="25" t="inlineStr">
        <is>
          <t>Bonjour Jonathan,</t>
        </is>
      </c>
      <c r="S126" s="46" t="inlineStr">
        <is>
          <t>Bonjour Jonathan,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27" ht="15" customHeight="1" s="26">
      <c r="A127" s="43" t="inlineStr">
        <is>
          <t>C</t>
        </is>
      </c>
      <c r="B127" s="36" t="inlineStr">
        <is>
          <t>Anick</t>
        </is>
      </c>
      <c r="C127" s="36" t="inlineStr">
        <is>
          <t>Baribeau</t>
        </is>
      </c>
      <c r="D127" s="37" t="inlineStr">
        <is>
          <t>Journaliste scientifique</t>
        </is>
      </c>
      <c r="E127" s="36" t="inlineStr">
        <is>
          <t>Pigiste</t>
        </is>
      </c>
      <c r="F127" s="36" t="inlineStr">
        <is>
          <t>anick.baribeau.1@ulaval.ca</t>
        </is>
      </c>
      <c r="G127" s="36" t="inlineStr">
        <is>
          <t>8196901837</t>
        </is>
      </c>
      <c r="H127" s="36" t="inlineStr">
        <is>
          <t>Mauricie</t>
        </is>
      </c>
      <c r="I127" s="37" t="inlineStr">
        <is>
          <t>Sciences</t>
        </is>
      </c>
      <c r="J127" s="36" t="n"/>
      <c r="K127" s="42" t="inlineStr">
        <is>
          <t>Ouvrir</t>
        </is>
      </c>
      <c r="L127" s="38" t="n"/>
      <c r="M127" s="38" t="n"/>
      <c r="N127" s="39" t="n"/>
      <c r="O127" s="25" t="inlineStr">
        <is>
          <t>D</t>
        </is>
      </c>
      <c r="P127" s="25" t="inlineStr">
        <is>
          <t>Le monarque, l'asclepiade, et l'idee qu'il faut la rendre payante</t>
        </is>
      </c>
      <c r="Q127" s="25" t="inlineStr">
        <is>
          <t>Bonjour Anick,</t>
        </is>
      </c>
      <c r="R127" s="25" t="inlineStr">
        <is>
          <t>Adresse personnelle : individualiser vraiment</t>
        </is>
      </c>
      <c r="S127" s="46" t="inlineStr">
        <is>
          <t>Bonjour Anick,
L'usine qui achetait 90 % des récoltes d'asclépiade du Québec était à Saint-Tite. Quand Les Industries Encore 3 ont fait faillite, la filière s'est effondrée et des producteurs de la Mauricie ont retourné leurs champs.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28" ht="15" customHeight="1" s="26">
      <c r="A128" s="43" t="inlineStr">
        <is>
          <t>C</t>
        </is>
      </c>
      <c r="B128" s="36" t="inlineStr">
        <is>
          <t>Félix-Antoine</t>
        </is>
      </c>
      <c r="C128" s="36" t="inlineStr">
        <is>
          <t>Beauchemin</t>
        </is>
      </c>
      <c r="D128" s="37" t="inlineStr">
        <is>
          <t>rédacteur en chef</t>
        </is>
      </c>
      <c r="E128" s="36" t="inlineStr">
        <is>
          <t>Pigiste</t>
        </is>
      </c>
      <c r="F128" s="36" t="inlineStr">
        <is>
          <t>editor@theconcordian.com</t>
        </is>
      </c>
      <c r="G128" s="36" t="n"/>
      <c r="H128" s="36" t="inlineStr">
        <is>
          <t>Montérégie</t>
        </is>
      </c>
      <c r="I128" s="37" t="inlineStr">
        <is>
          <t>Économie</t>
        </is>
      </c>
      <c r="J128" s="36" t="n"/>
      <c r="K128" s="42" t="inlineStr">
        <is>
          <t>Ouvrir</t>
        </is>
      </c>
      <c r="L128" s="38" t="n"/>
      <c r="M128" s="38" t="n"/>
      <c r="N128" s="39" t="n"/>
      <c r="O128" s="25" t="inlineStr">
        <is>
          <t>E</t>
        </is>
      </c>
      <c r="P128" s="25" t="inlineStr">
        <is>
          <t>Une PME qui a rapatrie sa production, puis en a delocalise une partie</t>
        </is>
      </c>
      <c r="Q128" s="25" t="inlineStr">
        <is>
          <t>Bonjour Félix-Antoine,</t>
        </is>
      </c>
      <c r="R128" s="25" t="inlineStr">
        <is>
          <t>Adresse personnelle : individualiser vraiment</t>
        </is>
      </c>
      <c r="S128" s="46" t="inlineStr">
        <is>
          <t>Bonjour Félix-Antoine,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29" ht="15" customHeight="1" s="26">
      <c r="A129" s="43" t="inlineStr">
        <is>
          <t>C</t>
        </is>
      </c>
      <c r="B129" s="36" t="inlineStr">
        <is>
          <t>Karim</t>
        </is>
      </c>
      <c r="C129" s="36" t="inlineStr">
        <is>
          <t>Benessaieh</t>
        </is>
      </c>
      <c r="D129" s="37" t="inlineStr">
        <is>
          <t>Reporter</t>
        </is>
      </c>
      <c r="E129" s="36" t="inlineStr">
        <is>
          <t>La Presse</t>
        </is>
      </c>
      <c r="F129" s="36" t="inlineStr">
        <is>
          <t>kbenessaieh@lapresse.ca</t>
        </is>
      </c>
      <c r="G129" s="36" t="inlineStr">
        <is>
          <t>514 285-3335</t>
        </is>
      </c>
      <c r="H129" s="36" t="inlineStr">
        <is>
          <t>Montréal</t>
        </is>
      </c>
      <c r="I129" s="37" t="inlineStr">
        <is>
          <t>Sciences</t>
        </is>
      </c>
      <c r="J129" s="36" t="n"/>
      <c r="K129" s="42" t="inlineStr">
        <is>
          <t>Ouvrir</t>
        </is>
      </c>
      <c r="L129" s="38" t="n"/>
      <c r="M129" s="38" t="n"/>
      <c r="N129" s="39" t="n"/>
      <c r="O129" s="25" t="inlineStr">
        <is>
          <t>D</t>
        </is>
      </c>
      <c r="P129" s="25" t="inlineStr">
        <is>
          <t>Le monarque, l'asclepiade, et l'idee qu'il faut la rendre payante</t>
        </is>
      </c>
      <c r="Q129" s="25" t="inlineStr">
        <is>
          <t>Bonjour Karim,</t>
        </is>
      </c>
      <c r="S129" s="46" t="inlineStr">
        <is>
          <t>Bonjour Karim,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30" ht="15" customHeight="1" s="26">
      <c r="A130" s="43" t="inlineStr">
        <is>
          <t>C</t>
        </is>
      </c>
      <c r="B130" s="36" t="inlineStr">
        <is>
          <t>Julia</t>
        </is>
      </c>
      <c r="C130" s="36" t="inlineStr">
        <is>
          <t>Bernier</t>
        </is>
      </c>
      <c r="D130" s="37" t="inlineStr">
        <is>
          <t>Journaliste</t>
        </is>
      </c>
      <c r="E130" s="36" t="inlineStr">
        <is>
          <t>Pigiste</t>
        </is>
      </c>
      <c r="F130" s="36" t="inlineStr">
        <is>
          <t>julia.bernier@mamh.gouv.qc.ca</t>
        </is>
      </c>
      <c r="G130" s="36" t="n"/>
      <c r="H130" s="36" t="inlineStr">
        <is>
          <t>Centre-du-Québec</t>
        </is>
      </c>
      <c r="I130" s="37" t="inlineStr">
        <is>
          <t>Art de vivre; Mode et beauté</t>
        </is>
      </c>
      <c r="J130" s="36" t="n"/>
      <c r="K130" s="42" t="inlineStr">
        <is>
          <t>Ouvrir</t>
        </is>
      </c>
      <c r="L130" s="38" t="n"/>
      <c r="M130" s="38" t="n"/>
      <c r="N130" s="39" t="n"/>
      <c r="O130" s="25" t="inlineStr">
        <is>
          <t>G</t>
        </is>
      </c>
      <c r="P130" s="25" t="inlineStr">
        <is>
          <t>Un manteau isole avec une mauvaise herbe, au premier episode de Dragons' Den</t>
        </is>
      </c>
      <c r="Q130" s="25" t="inlineStr">
        <is>
          <t>Bonjour Julia,</t>
        </is>
      </c>
      <c r="R130" s="25" t="inlineStr">
        <is>
          <t>Adresse personnelle : individualiser vraiment</t>
        </is>
      </c>
      <c r="S130" s="46" t="inlineStr">
        <is>
          <t>Bonjour Julia,
L'asclépiade se cultive dans votre région depuis la première vague de 2013, et plusieurs producteurs qui ont survécu à l'effondrement de la filière y sont encore.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31" ht="15" customHeight="1" s="26">
      <c r="A131" s="43" t="inlineStr">
        <is>
          <t>C</t>
        </is>
      </c>
      <c r="B131" s="36" t="inlineStr">
        <is>
          <t>Karine</t>
        </is>
      </c>
      <c r="C131" s="36" t="inlineStr">
        <is>
          <t>Boivin Forcier</t>
        </is>
      </c>
      <c r="D131" s="37" t="inlineStr">
        <is>
          <t>Rédactrice en chef</t>
        </is>
      </c>
      <c r="E131" s="36" t="inlineStr">
        <is>
          <t>Pigiste</t>
        </is>
      </c>
      <c r="F131" s="36" t="inlineStr">
        <is>
          <t>kbforcier@informeaffaires.com</t>
        </is>
      </c>
      <c r="G131" s="36" t="inlineStr">
        <is>
          <t>418 548-7100</t>
        </is>
      </c>
      <c r="H131" s="36" t="inlineStr">
        <is>
          <t>Saguenay - Lac-Saint-Jean</t>
        </is>
      </c>
      <c r="I131" s="37" t="inlineStr">
        <is>
          <t>Économie</t>
        </is>
      </c>
      <c r="J131" s="36" t="n"/>
      <c r="K131" s="42" t="inlineStr">
        <is>
          <t>Ouvrir</t>
        </is>
      </c>
      <c r="L131" s="38" t="n"/>
      <c r="M131" s="38" t="n"/>
      <c r="N131" s="39" t="n"/>
      <c r="O131" s="25" t="inlineStr">
        <is>
          <t>E</t>
        </is>
      </c>
      <c r="P131" s="25" t="inlineStr">
        <is>
          <t>Une PME qui a rapatrie sa production, puis en a delocalise une partie</t>
        </is>
      </c>
      <c r="Q131" s="25" t="inlineStr">
        <is>
          <t>Bonjour Karine,</t>
        </is>
      </c>
      <c r="R131" s="25" t="inlineStr">
        <is>
          <t>Adresse personnelle : individualiser vraiment</t>
        </is>
      </c>
      <c r="S131" s="46" t="inlineStr">
        <is>
          <t>Bonjour Karine,
Un de nos fournisseurs d'asclépiade cultive au Lac-Saint-Jean depuis nos débuts, et il l'est encore aujourd'hui. Pour une filière qui s'est effondrée en 2018, ce n'est pas banal.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32" ht="15" customHeight="1" s="26">
      <c r="A132" s="43" t="inlineStr">
        <is>
          <t>C</t>
        </is>
      </c>
      <c r="B132" s="36" t="inlineStr">
        <is>
          <t>Audrey</t>
        </is>
      </c>
      <c r="C132" s="36" t="inlineStr">
        <is>
          <t>Bonaque</t>
        </is>
      </c>
      <c r="D132" s="37" t="inlineStr">
        <is>
          <t>Journaliste</t>
        </is>
      </c>
      <c r="E132" s="36" t="inlineStr">
        <is>
          <t>Noovo Info</t>
        </is>
      </c>
      <c r="F132" s="36" t="inlineStr">
        <is>
          <t>aud.bonaque@gmail.com</t>
        </is>
      </c>
      <c r="G132" s="36" t="n"/>
      <c r="H132" s="36" t="inlineStr">
        <is>
          <t>Montréal</t>
        </is>
      </c>
      <c r="I132" s="37" t="inlineStr">
        <is>
          <t>Environnement</t>
        </is>
      </c>
      <c r="J132" s="36" t="n"/>
      <c r="K132" s="42" t="inlineStr">
        <is>
          <t>Ouvrir</t>
        </is>
      </c>
      <c r="L132" s="38" t="n"/>
      <c r="M132" s="38" t="n"/>
      <c r="N132" s="39" t="n"/>
      <c r="O132" s="25" t="inlineStr">
        <is>
          <t>I</t>
        </is>
      </c>
      <c r="P132" s="25" t="inlineStr">
        <is>
          <t>Invite disponible : Lasclay a Dragons' Den le 17 septembre</t>
        </is>
      </c>
      <c r="Q132" s="25" t="inlineStr">
        <is>
          <t>Bonjour Audrey,</t>
        </is>
      </c>
      <c r="R132" s="25" t="inlineStr">
        <is>
          <t>Adresse personnelle : individualiser vraiment</t>
        </is>
      </c>
      <c r="S132" s="46" t="inlineStr">
        <is>
          <t>Bonjour Audrey,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33" ht="15" customHeight="1" s="26">
      <c r="A133" s="43" t="inlineStr">
        <is>
          <t>C</t>
        </is>
      </c>
      <c r="B133" s="36" t="inlineStr">
        <is>
          <t>Luc</t>
        </is>
      </c>
      <c r="C133" s="36" t="inlineStr">
        <is>
          <t>Boulanger</t>
        </is>
      </c>
      <c r="D133" s="37" t="inlineStr">
        <is>
          <t>Reporter</t>
        </is>
      </c>
      <c r="E133" s="36" t="inlineStr">
        <is>
          <t>La Presse</t>
        </is>
      </c>
      <c r="F133" s="36" t="inlineStr">
        <is>
          <t>lboulanger@lapresse.ca</t>
        </is>
      </c>
      <c r="G133" s="36" t="inlineStr">
        <is>
          <t>514 285-7000 # 5041</t>
        </is>
      </c>
      <c r="H133" s="36" t="inlineStr">
        <is>
          <t>Montréal</t>
        </is>
      </c>
      <c r="I133" s="37" t="inlineStr">
        <is>
          <t>Art de vivre; Consommation</t>
        </is>
      </c>
      <c r="J133" s="36" t="n"/>
      <c r="K133" s="42" t="inlineStr">
        <is>
          <t>Ouvrir</t>
        </is>
      </c>
      <c r="L133" s="38" t="n"/>
      <c r="M133" s="38" t="n"/>
      <c r="N133" s="39" t="n"/>
      <c r="O133" s="25" t="inlineStr">
        <is>
          <t>G</t>
        </is>
      </c>
      <c r="P133" s="25" t="inlineStr">
        <is>
          <t>Un manteau isole avec une mauvaise herbe, au premier episode de Dragons' Den</t>
        </is>
      </c>
      <c r="Q133" s="25" t="inlineStr">
        <is>
          <t>Bonjour Luc,</t>
        </is>
      </c>
      <c r="S133" s="46" t="inlineStr">
        <is>
          <t>Bonjour Luc,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34" ht="15" customHeight="1" s="26">
      <c r="A134" s="43" t="inlineStr">
        <is>
          <t>C</t>
        </is>
      </c>
      <c r="B134" s="36" t="inlineStr">
        <is>
          <t>Mario</t>
        </is>
      </c>
      <c r="C134" s="36" t="inlineStr">
        <is>
          <t>Boulianne</t>
        </is>
      </c>
      <c r="D134" s="37" t="inlineStr">
        <is>
          <t>Coordonnateur réseau et chroniqueur culturel</t>
        </is>
      </c>
      <c r="E134" s="36" t="inlineStr">
        <is>
          <t>Le Droit</t>
        </is>
      </c>
      <c r="F134" s="36" t="inlineStr">
        <is>
          <t>mboulianne@ledroit.com</t>
        </is>
      </c>
      <c r="G134" s="36" t="inlineStr">
        <is>
          <t>613 562-7715</t>
        </is>
      </c>
      <c r="H134" s="36" t="inlineStr">
        <is>
          <t>Outaouais</t>
        </is>
      </c>
      <c r="I134" s="37" t="inlineStr">
        <is>
          <t>Art de vivre</t>
        </is>
      </c>
      <c r="J134" s="36" t="n"/>
      <c r="K134" s="42" t="inlineStr">
        <is>
          <t>Ouvrir</t>
        </is>
      </c>
      <c r="L134" s="38" t="n"/>
      <c r="M134" s="38" t="n"/>
      <c r="N134" s="39" t="n"/>
      <c r="O134" s="25" t="inlineStr">
        <is>
          <t>B</t>
        </is>
      </c>
      <c r="P134" s="25" t="inlineStr">
        <is>
          <t>Outaouais : Lasclay au premier episode de la 21e saison de Dragons' Den</t>
        </is>
      </c>
      <c r="Q134" s="25" t="inlineStr">
        <is>
          <t>Bonjour Mario,</t>
        </is>
      </c>
      <c r="S134" s="46" t="inlineStr">
        <is>
          <t>Bonjour Mario,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35" ht="15" customHeight="1" s="26">
      <c r="A135" s="43" t="inlineStr">
        <is>
          <t>C</t>
        </is>
      </c>
      <c r="B135" s="36" t="inlineStr">
        <is>
          <t>Bernard</t>
        </is>
      </c>
      <c r="C135" s="36" t="inlineStr">
        <is>
          <t>Brault</t>
        </is>
      </c>
      <c r="D135" s="37" t="inlineStr">
        <is>
          <t>Photographe de presse</t>
        </is>
      </c>
      <c r="E135" s="36" t="inlineStr">
        <is>
          <t>Pigiste</t>
        </is>
      </c>
      <c r="F135" s="36" t="inlineStr">
        <is>
          <t>photobro@videotron.ca</t>
        </is>
      </c>
      <c r="G135" s="36" t="inlineStr">
        <is>
          <t>514-972-6260</t>
        </is>
      </c>
      <c r="H135" s="36" t="inlineStr">
        <is>
          <t>Montérégie</t>
        </is>
      </c>
      <c r="I135" s="37" t="inlineStr">
        <is>
          <t>Plein air</t>
        </is>
      </c>
      <c r="J135" s="36" t="n"/>
      <c r="K135" s="42" t="inlineStr">
        <is>
          <t>Ouvrir</t>
        </is>
      </c>
      <c r="L135" s="38" t="n"/>
      <c r="M135" s="38" t="n"/>
      <c r="N135" s="39" t="n"/>
      <c r="O135" s="25" t="inlineStr">
        <is>
          <t>F</t>
        </is>
      </c>
      <c r="P135" s="25" t="inlineStr">
        <is>
          <t>L'asclepiade contre le duvet, et ce que les tests disent vraiment</t>
        </is>
      </c>
      <c r="Q135" s="25" t="inlineStr">
        <is>
          <t>Bonjour Bernard,</t>
        </is>
      </c>
      <c r="R135" s="25" t="inlineStr">
        <is>
          <t>Adresse personnelle : individualiser vraiment</t>
        </is>
      </c>
      <c r="S135" s="46" t="inlineStr">
        <is>
          <t>Bonjour Bernard,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36" ht="15" customHeight="1" s="26">
      <c r="A136" s="43" t="inlineStr">
        <is>
          <t>C</t>
        </is>
      </c>
      <c r="B136" s="36" t="inlineStr">
        <is>
          <t>Pierre</t>
        </is>
      </c>
      <c r="C136" s="36" t="inlineStr">
        <is>
          <t>Brisson</t>
        </is>
      </c>
      <c r="D136" s="37" t="inlineStr">
        <is>
          <t>Chargé de cours universitaire</t>
        </is>
      </c>
      <c r="E136" s="36" t="inlineStr">
        <is>
          <t>Université de Montréal</t>
        </is>
      </c>
      <c r="F136" s="36" t="inlineStr">
        <is>
          <t>brissonp@hotmail.com</t>
        </is>
      </c>
      <c r="G136" s="36" t="inlineStr">
        <is>
          <t>514 237-4089</t>
        </is>
      </c>
      <c r="H136" s="36" t="inlineStr">
        <is>
          <t>Montréal</t>
        </is>
      </c>
      <c r="I136" s="37" t="inlineStr">
        <is>
          <t>Économie</t>
        </is>
      </c>
      <c r="J136" s="36" t="n"/>
      <c r="K136" s="42" t="inlineStr">
        <is>
          <t>Ouvrir</t>
        </is>
      </c>
      <c r="L136" s="38" t="n"/>
      <c r="M136" s="38" t="n"/>
      <c r="N136" s="39" t="n"/>
      <c r="O136" s="25" t="inlineStr">
        <is>
          <t>E</t>
        </is>
      </c>
      <c r="P136" s="25" t="inlineStr">
        <is>
          <t>Une PME qui a rapatrie sa production, puis en a delocalise une partie</t>
        </is>
      </c>
      <c r="Q136" s="25" t="inlineStr">
        <is>
          <t>Bonjour Pierre,</t>
        </is>
      </c>
      <c r="R136" s="25" t="inlineStr">
        <is>
          <t>Adresse personnelle : individualiser vraiment</t>
        </is>
      </c>
      <c r="S136" s="46" t="inlineStr">
        <is>
          <t>Bonjour Pierre,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37" ht="15" customHeight="1" s="26">
      <c r="A137" s="43" t="inlineStr">
        <is>
          <t>C</t>
        </is>
      </c>
      <c r="B137" s="36" t="inlineStr">
        <is>
          <t>Laurence</t>
        </is>
      </c>
      <c r="C137" s="36" t="inlineStr">
        <is>
          <t>Brisson Dubreuil</t>
        </is>
      </c>
      <c r="D137" s="37" t="inlineStr">
        <is>
          <t>Journaliste vidéo</t>
        </is>
      </c>
      <c r="E137" s="36" t="inlineStr">
        <is>
          <t>Université Concordia</t>
        </is>
      </c>
      <c r="F137" s="36" t="inlineStr">
        <is>
          <t>laurence.brisson_dub@bellmedia.ca</t>
        </is>
      </c>
      <c r="G137" s="36" t="inlineStr">
        <is>
          <t>450-601-2502</t>
        </is>
      </c>
      <c r="H137" s="36" t="inlineStr">
        <is>
          <t>Montréal</t>
        </is>
      </c>
      <c r="I137" s="37" t="inlineStr">
        <is>
          <t>Environnement</t>
        </is>
      </c>
      <c r="J137" s="36" t="n"/>
      <c r="K137" s="42" t="inlineStr">
        <is>
          <t>Ouvrir</t>
        </is>
      </c>
      <c r="L137" s="38" t="n"/>
      <c r="M137" s="38" t="n"/>
      <c r="N137" s="39" t="n"/>
      <c r="O137" s="25" t="inlineStr">
        <is>
          <t>I</t>
        </is>
      </c>
      <c r="P137" s="25" t="inlineStr">
        <is>
          <t>Invite disponible : Lasclay a Dragons' Den le 17 septembre</t>
        </is>
      </c>
      <c r="Q137" s="25" t="inlineStr">
        <is>
          <t>Bonjour Laurence,</t>
        </is>
      </c>
      <c r="S137" s="46" t="inlineStr">
        <is>
          <t>Bonjour Laurence,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38" ht="15" customHeight="1" s="26">
      <c r="A138" s="43" t="inlineStr">
        <is>
          <t>C</t>
        </is>
      </c>
      <c r="B138" s="36" t="inlineStr">
        <is>
          <t>Nathaniel</t>
        </is>
      </c>
      <c r="C138" s="36" t="inlineStr">
        <is>
          <t>Bronner</t>
        </is>
      </c>
      <c r="D138" s="37" t="inlineStr">
        <is>
          <t>Animateur, modérateur</t>
        </is>
      </c>
      <c r="E138" s="36" t="inlineStr">
        <is>
          <t>Pigiste</t>
        </is>
      </c>
      <c r="F138" s="36" t="inlineStr">
        <is>
          <t>nbronner@lesasdelinfo.com</t>
        </is>
      </c>
      <c r="G138" s="36" t="n"/>
      <c r="H138" s="36" t="inlineStr">
        <is>
          <t>Laurentides</t>
        </is>
      </c>
      <c r="I138" s="37" t="inlineStr">
        <is>
          <t>Art de vivre; Environnement</t>
        </is>
      </c>
      <c r="J138" s="36" t="n"/>
      <c r="K138" s="42" t="inlineStr">
        <is>
          <t>Ouvrir</t>
        </is>
      </c>
      <c r="L138" s="38" t="n"/>
      <c r="M138" s="38" t="n"/>
      <c r="N138" s="39" t="n"/>
      <c r="O138" s="25" t="inlineStr">
        <is>
          <t>I</t>
        </is>
      </c>
      <c r="P138" s="25" t="inlineStr">
        <is>
          <t>Invite disponible : Lasclay a Dragons' Den le 17 septembre</t>
        </is>
      </c>
      <c r="Q138" s="25" t="inlineStr">
        <is>
          <t>Bonjour Nathaniel,</t>
        </is>
      </c>
      <c r="R138" s="25" t="inlineStr">
        <is>
          <t>Adresse personnelle : individualiser vraiment</t>
        </is>
      </c>
      <c r="S138" s="46" t="inlineStr">
        <is>
          <t>Bonjour Nathaniel,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39" ht="15" customHeight="1" s="26">
      <c r="A139" s="43" t="inlineStr">
        <is>
          <t>C</t>
        </is>
      </c>
      <c r="B139" s="36" t="inlineStr">
        <is>
          <t>Marie-France</t>
        </is>
      </c>
      <c r="C139" s="36" t="inlineStr">
        <is>
          <t>Bélanger</t>
        </is>
      </c>
      <c r="D139" s="37" t="inlineStr">
        <is>
          <t>Journaliste émission La facture</t>
        </is>
      </c>
      <c r="E139" s="36" t="inlineStr">
        <is>
          <t>Radio-Canada (QC)</t>
        </is>
      </c>
      <c r="F139" s="36" t="inlineStr">
        <is>
          <t>marie-france.belanger@radio-canada.ca</t>
        </is>
      </c>
      <c r="G139" s="36" t="inlineStr">
        <is>
          <t>514-258-0044</t>
        </is>
      </c>
      <c r="H139" s="36" t="inlineStr">
        <is>
          <t>Montréal</t>
        </is>
      </c>
      <c r="I139" s="37" t="inlineStr">
        <is>
          <t>Consommation</t>
        </is>
      </c>
      <c r="J139" s="36" t="n"/>
      <c r="K139" s="42" t="inlineStr">
        <is>
          <t>Ouvrir</t>
        </is>
      </c>
      <c r="L139" s="38" t="n"/>
      <c r="M139" s="38" t="n"/>
      <c r="N139" s="39" t="n"/>
      <c r="O139" s="25" t="inlineStr">
        <is>
          <t>G</t>
        </is>
      </c>
      <c r="P139" s="25" t="inlineStr">
        <is>
          <t>Un manteau isole avec une mauvaise herbe, au premier episode de Dragons' Den</t>
        </is>
      </c>
      <c r="Q139" s="25" t="inlineStr">
        <is>
          <t>Bonjour Marie-France,</t>
        </is>
      </c>
      <c r="S139" s="46" t="inlineStr">
        <is>
          <t>Bonjour Marie-France,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40" ht="15" customHeight="1" s="26">
      <c r="A140" s="43" t="inlineStr">
        <is>
          <t>C</t>
        </is>
      </c>
      <c r="B140" s="36" t="inlineStr">
        <is>
          <t>Diane</t>
        </is>
      </c>
      <c r="C140" s="36" t="inlineStr">
        <is>
          <t>Bérard</t>
        </is>
      </c>
      <c r="D140" s="37" t="inlineStr">
        <is>
          <t>Journaliste</t>
        </is>
      </c>
      <c r="E140" s="36" t="inlineStr">
        <is>
          <t>Pigiste</t>
        </is>
      </c>
      <c r="F140" s="36" t="inlineStr">
        <is>
          <t>diane_berard@hotmail.com</t>
        </is>
      </c>
      <c r="G140" s="36" t="n"/>
      <c r="H140" s="36" t="inlineStr">
        <is>
          <t>Montréal</t>
        </is>
      </c>
      <c r="I140" s="37" t="inlineStr">
        <is>
          <t>Économie</t>
        </is>
      </c>
      <c r="J140" s="36" t="n"/>
      <c r="K140" s="42" t="inlineStr">
        <is>
          <t>Ouvrir</t>
        </is>
      </c>
      <c r="L140" s="38" t="n"/>
      <c r="M140" s="38" t="n"/>
      <c r="N140" s="39" t="n"/>
      <c r="O140" s="25" t="inlineStr">
        <is>
          <t>E</t>
        </is>
      </c>
      <c r="P140" s="25" t="inlineStr">
        <is>
          <t>Une PME qui a rapatrie sa production, puis en a delocalise une partie</t>
        </is>
      </c>
      <c r="Q140" s="25" t="inlineStr">
        <is>
          <t>Bonjour Diane,</t>
        </is>
      </c>
      <c r="R140" s="25" t="inlineStr">
        <is>
          <t>Adresse personnelle : individualiser vraiment</t>
        </is>
      </c>
      <c r="S140" s="46" t="inlineStr">
        <is>
          <t>Bonjour Diane,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41" ht="15" customHeight="1" s="26">
      <c r="A141" s="43" t="inlineStr">
        <is>
          <t>C</t>
        </is>
      </c>
      <c r="B141" s="36" t="inlineStr">
        <is>
          <t>Julien</t>
        </is>
      </c>
      <c r="C141" s="36" t="inlineStr">
        <is>
          <t>Cayouette</t>
        </is>
      </c>
      <c r="D141" s="37" t="inlineStr">
        <is>
          <t>Rédacteur en chef</t>
        </is>
      </c>
      <c r="E141" s="36" t="inlineStr">
        <is>
          <t>Pigiste</t>
        </is>
      </c>
      <c r="F141" s="36" t="inlineStr">
        <is>
          <t>julien@francopresse.ca</t>
        </is>
      </c>
      <c r="G141" s="36" t="inlineStr">
        <is>
          <t>6132411017 #105</t>
        </is>
      </c>
      <c r="H141" s="36" t="inlineStr">
        <is>
          <t>Ontario</t>
        </is>
      </c>
      <c r="I141" s="37" t="inlineStr">
        <is>
          <t>Environnement</t>
        </is>
      </c>
      <c r="J141" s="36" t="n"/>
      <c r="K141" s="42" t="inlineStr">
        <is>
          <t>Ouvrir</t>
        </is>
      </c>
      <c r="L141" s="38" t="n"/>
      <c r="M141" s="38" t="n"/>
      <c r="N141" s="39" t="n"/>
      <c r="O141" s="25" t="inlineStr">
        <is>
          <t>D</t>
        </is>
      </c>
      <c r="P141" s="25" t="inlineStr">
        <is>
          <t>Le monarque, l'asclepiade, et l'idee qu'il faut la rendre payante</t>
        </is>
      </c>
      <c r="Q141" s="25" t="inlineStr">
        <is>
          <t>Bonjour Julien,</t>
        </is>
      </c>
      <c r="R141" s="25" t="inlineStr">
        <is>
          <t>Adresse personnelle : individualiser vraiment</t>
        </is>
      </c>
      <c r="S141" s="46" t="inlineStr">
        <is>
          <t>Bonjour Julien,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42" ht="15" customHeight="1" s="26">
      <c r="A142" s="43" t="inlineStr">
        <is>
          <t>C</t>
        </is>
      </c>
      <c r="B142" s="36" t="inlineStr">
        <is>
          <t>Rudy</t>
        </is>
      </c>
      <c r="C142" s="36" t="inlineStr">
        <is>
          <t>Chabannes</t>
        </is>
      </c>
      <c r="D142" s="37" t="inlineStr">
        <is>
          <t>Rédacteur en chef</t>
        </is>
      </c>
      <c r="E142" s="36" t="inlineStr">
        <is>
          <t>TFO / TVOntario</t>
        </is>
      </c>
      <c r="F142" s="36" t="inlineStr">
        <is>
          <t>rchabannes@tfo.org</t>
        </is>
      </c>
      <c r="G142" s="36" t="inlineStr">
        <is>
          <t>4164281585</t>
        </is>
      </c>
      <c r="H142" s="36" t="inlineStr">
        <is>
          <t>Ontario</t>
        </is>
      </c>
      <c r="I142" s="37" t="inlineStr">
        <is>
          <t>Économie</t>
        </is>
      </c>
      <c r="J142" s="36" t="n"/>
      <c r="K142" s="42" t="inlineStr">
        <is>
          <t>Ouvrir</t>
        </is>
      </c>
      <c r="L142" s="38" t="n"/>
      <c r="M142" s="38" t="n"/>
      <c r="N142" s="39" t="n"/>
      <c r="O142" s="25" t="inlineStr">
        <is>
          <t>I</t>
        </is>
      </c>
      <c r="P142" s="25" t="inlineStr">
        <is>
          <t>Invite disponible : Lasclay a Dragons' Den le 17 septembre</t>
        </is>
      </c>
      <c r="Q142" s="25" t="inlineStr">
        <is>
          <t>Bonjour Rudy,</t>
        </is>
      </c>
      <c r="S142" s="46" t="inlineStr">
        <is>
          <t>Bonjour Rudy,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43" ht="15" customHeight="1" s="26">
      <c r="A143" s="43" t="inlineStr">
        <is>
          <t>C</t>
        </is>
      </c>
      <c r="B143" s="36" t="inlineStr">
        <is>
          <t>Denis-Martin</t>
        </is>
      </c>
      <c r="C143" s="36" t="inlineStr">
        <is>
          <t>Chabot</t>
        </is>
      </c>
      <c r="D143" s="37" t="inlineStr">
        <is>
          <t>Journaliste/animateur à Canal M</t>
        </is>
      </c>
      <c r="E143" s="36" t="inlineStr">
        <is>
          <t>Pigiste</t>
        </is>
      </c>
      <c r="F143" s="36" t="inlineStr">
        <is>
          <t>denismartinchabot@gmail.com</t>
        </is>
      </c>
      <c r="G143" s="36" t="inlineStr">
        <is>
          <t>1-514-946-7079</t>
        </is>
      </c>
      <c r="H143" s="36" t="inlineStr">
        <is>
          <t>Montréal</t>
        </is>
      </c>
      <c r="I143" s="37" t="inlineStr">
        <is>
          <t>Environnement</t>
        </is>
      </c>
      <c r="J143" s="36" t="n"/>
      <c r="K143" s="42" t="inlineStr">
        <is>
          <t>Ouvrir</t>
        </is>
      </c>
      <c r="L143" s="38" t="n"/>
      <c r="M143" s="38" t="n"/>
      <c r="N143" s="39" t="n"/>
      <c r="O143" s="25" t="inlineStr">
        <is>
          <t>I</t>
        </is>
      </c>
      <c r="P143" s="25" t="inlineStr">
        <is>
          <t>Invite disponible : Lasclay a Dragons' Den le 17 septembre</t>
        </is>
      </c>
      <c r="Q143" s="25" t="inlineStr">
        <is>
          <t>Bonjour Denis-Martin,</t>
        </is>
      </c>
      <c r="R143" s="25" t="inlineStr">
        <is>
          <t>Adresse personnelle : individualiser vraiment</t>
        </is>
      </c>
      <c r="S143" s="46" t="inlineStr">
        <is>
          <t>Bonjour Denis-Martin,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44" ht="15" customHeight="1" s="26">
      <c r="A144" s="43" t="inlineStr">
        <is>
          <t>C</t>
        </is>
      </c>
      <c r="B144" s="36" t="inlineStr">
        <is>
          <t>Loubna Majda</t>
        </is>
      </c>
      <c r="C144" s="36" t="inlineStr">
        <is>
          <t>Chourouk</t>
        </is>
      </c>
      <c r="D144" s="37" t="inlineStr">
        <is>
          <t>Animatrice Radio</t>
        </is>
      </c>
      <c r="E144" s="36" t="inlineStr">
        <is>
          <t>Pigiste</t>
        </is>
      </c>
      <c r="F144" s="36" t="inlineStr">
        <is>
          <t>loubna.majda.chourouk@gmail.com</t>
        </is>
      </c>
      <c r="G144" s="36" t="n"/>
      <c r="H144" s="36" t="inlineStr">
        <is>
          <t>Laval</t>
        </is>
      </c>
      <c r="I144" s="37" t="inlineStr">
        <is>
          <t>Art de vivre; Sciences</t>
        </is>
      </c>
      <c r="J144" s="36" t="n"/>
      <c r="K144" s="42" t="inlineStr">
        <is>
          <t>Ouvrir</t>
        </is>
      </c>
      <c r="L144" s="38" t="n"/>
      <c r="M144" s="38" t="n"/>
      <c r="N144" s="39" t="n"/>
      <c r="O144" s="25" t="inlineStr">
        <is>
          <t>I</t>
        </is>
      </c>
      <c r="P144" s="25" t="inlineStr">
        <is>
          <t>Invite disponible : Lasclay a Dragons' Den le 17 septembre</t>
        </is>
      </c>
      <c r="Q144" s="25" t="inlineStr">
        <is>
          <t>Bonjour Loubna Majda,</t>
        </is>
      </c>
      <c r="R144" s="25" t="inlineStr">
        <is>
          <t>Adresse personnelle : individualiser vraiment</t>
        </is>
      </c>
      <c r="S144" s="46" t="inlineStr">
        <is>
          <t>Bonjour Loubna Majda,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45" ht="15" customHeight="1" s="26">
      <c r="A145" s="43" t="inlineStr">
        <is>
          <t>C</t>
        </is>
      </c>
      <c r="B145" s="36" t="inlineStr">
        <is>
          <t>Sarah</t>
        </is>
      </c>
      <c r="C145" s="36" t="inlineStr">
        <is>
          <t>Collardey</t>
        </is>
      </c>
      <c r="D145" s="37" t="inlineStr">
        <is>
          <t>Journaliste</t>
        </is>
      </c>
      <c r="E145" s="36" t="inlineStr">
        <is>
          <t>Le Devoir</t>
        </is>
      </c>
      <c r="F145" s="36" t="inlineStr">
        <is>
          <t>sarah.collardey1@gmail.com</t>
        </is>
      </c>
      <c r="G145" s="36" t="inlineStr">
        <is>
          <t>514 240-2971</t>
        </is>
      </c>
      <c r="H145" s="36" t="inlineStr">
        <is>
          <t>Montréal</t>
        </is>
      </c>
      <c r="I145" s="37" t="inlineStr">
        <is>
          <t>Sciences</t>
        </is>
      </c>
      <c r="J145" s="36" t="n"/>
      <c r="K145" s="42" t="inlineStr">
        <is>
          <t>Ouvrir</t>
        </is>
      </c>
      <c r="L145" s="38" t="n"/>
      <c r="M145" s="38" t="n"/>
      <c r="N145" s="39" t="n"/>
      <c r="O145" s="25" t="inlineStr">
        <is>
          <t>D</t>
        </is>
      </c>
      <c r="P145" s="25" t="inlineStr">
        <is>
          <t>Le monarque, l'asclepiade, et l'idee qu'il faut la rendre payante</t>
        </is>
      </c>
      <c r="Q145" s="25" t="inlineStr">
        <is>
          <t>Bonjour Sarah,</t>
        </is>
      </c>
      <c r="R145" s="25" t="inlineStr">
        <is>
          <t>Adresse personnelle : individualiser vraiment</t>
        </is>
      </c>
      <c r="S145" s="46" t="inlineStr">
        <is>
          <t>Bonjour Sarah,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46" ht="15" customHeight="1" s="26">
      <c r="A146" s="43" t="inlineStr">
        <is>
          <t>C</t>
        </is>
      </c>
      <c r="B146" s="36" t="inlineStr">
        <is>
          <t>Kathleen</t>
        </is>
      </c>
      <c r="C146" s="36" t="inlineStr">
        <is>
          <t>Couillard</t>
        </is>
      </c>
      <c r="D146" s="37" t="inlineStr">
        <is>
          <t>Journaliste scientifique</t>
        </is>
      </c>
      <c r="E146" s="36" t="inlineStr">
        <is>
          <t>Agence Science Presse</t>
        </is>
      </c>
      <c r="F146" s="36" t="inlineStr">
        <is>
          <t>kcouillard@gmail.com</t>
        </is>
      </c>
      <c r="G146" s="36" t="n"/>
      <c r="H146" s="36" t="inlineStr">
        <is>
          <t>Montérégie</t>
        </is>
      </c>
      <c r="I146" s="37" t="inlineStr">
        <is>
          <t>Art de vivre; Sciences</t>
        </is>
      </c>
      <c r="J146" s="36" t="n"/>
      <c r="K146" s="42" t="inlineStr">
        <is>
          <t>Ouvrir</t>
        </is>
      </c>
      <c r="L146" s="38" t="n"/>
      <c r="M146" s="38" t="n"/>
      <c r="N146" s="39" t="n"/>
      <c r="O146" s="25" t="inlineStr">
        <is>
          <t>B</t>
        </is>
      </c>
      <c r="P146" s="25" t="inlineStr">
        <is>
          <t>Montérégie : Lasclay au premier episode de la 21e saison de Dragons' Den</t>
        </is>
      </c>
      <c r="Q146" s="25" t="inlineStr">
        <is>
          <t>Bonjour Kathleen,</t>
        </is>
      </c>
      <c r="R146" s="25" t="inlineStr">
        <is>
          <t>Adresse personnelle : individualiser vraiment</t>
        </is>
      </c>
      <c r="S146" s="46" t="inlineStr">
        <is>
          <t>Bonjour Kathleen,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47" ht="15" customHeight="1" s="26">
      <c r="A147" s="43" t="inlineStr">
        <is>
          <t>C</t>
        </is>
      </c>
      <c r="B147" s="36" t="inlineStr">
        <is>
          <t>Oumou</t>
        </is>
      </c>
      <c r="C147" s="36" t="inlineStr">
        <is>
          <t>DIAKITÉ</t>
        </is>
      </c>
      <c r="D147" s="37" t="inlineStr">
        <is>
          <t>Journaliste</t>
        </is>
      </c>
      <c r="E147" s="36" t="inlineStr">
        <is>
          <t>Pigiste</t>
        </is>
      </c>
      <c r="F147" s="36" t="inlineStr">
        <is>
          <t>oumoudiakitepro@gmail.com</t>
        </is>
      </c>
      <c r="G147" s="36" t="inlineStr">
        <is>
          <t>(514) 256-9000</t>
        </is>
      </c>
      <c r="H147" s="36" t="inlineStr">
        <is>
          <t>Montréal</t>
        </is>
      </c>
      <c r="I147" s="37" t="inlineStr">
        <is>
          <t>Consommation</t>
        </is>
      </c>
      <c r="J147" s="36" t="n"/>
      <c r="K147" s="42" t="inlineStr">
        <is>
          <t>Ouvrir</t>
        </is>
      </c>
      <c r="L147" s="38" t="n"/>
      <c r="M147" s="38" t="n"/>
      <c r="N147" s="39" t="n"/>
      <c r="O147" s="25" t="inlineStr">
        <is>
          <t>G</t>
        </is>
      </c>
      <c r="P147" s="25" t="inlineStr">
        <is>
          <t>Un manteau isole avec une mauvaise herbe, au premier episode de Dragons' Den</t>
        </is>
      </c>
      <c r="Q147" s="25" t="inlineStr">
        <is>
          <t>Bonjour Oumou,</t>
        </is>
      </c>
      <c r="R147" s="25" t="inlineStr">
        <is>
          <t>Adresse personnelle : individualiser vraiment</t>
        </is>
      </c>
      <c r="S147" s="46" t="inlineStr">
        <is>
          <t>Bonjour Oumou,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48" ht="15" customHeight="1" s="26">
      <c r="A148" s="43" t="inlineStr">
        <is>
          <t>C</t>
        </is>
      </c>
      <c r="B148" s="36" t="inlineStr">
        <is>
          <t>Agnès</t>
        </is>
      </c>
      <c r="C148" s="36" t="inlineStr">
        <is>
          <t>Delavault</t>
        </is>
      </c>
      <c r="D148" s="37" t="inlineStr">
        <is>
          <t>Directrice de contenu</t>
        </is>
      </c>
      <c r="E148" s="36" t="inlineStr">
        <is>
          <t>Protégez-Vous</t>
        </is>
      </c>
      <c r="F148" s="36" t="inlineStr">
        <is>
          <t>adelavault@pv.ca</t>
        </is>
      </c>
      <c r="G148" s="36" t="inlineStr">
        <is>
          <t>5144613000 poste 117</t>
        </is>
      </c>
      <c r="H148" s="36" t="inlineStr">
        <is>
          <t>Montréal</t>
        </is>
      </c>
      <c r="I148" s="37" t="inlineStr">
        <is>
          <t>Consommation</t>
        </is>
      </c>
      <c r="J148" s="36" t="n"/>
      <c r="K148" s="42" t="inlineStr">
        <is>
          <t>Ouvrir</t>
        </is>
      </c>
      <c r="L148" s="38" t="n"/>
      <c r="M148" s="38" t="n"/>
      <c r="N148" s="39" t="n"/>
      <c r="O148" s="25" t="inlineStr">
        <is>
          <t>G</t>
        </is>
      </c>
      <c r="P148" s="25" t="inlineStr">
        <is>
          <t>Un manteau isole avec une mauvaise herbe, au premier episode de Dragons' Den</t>
        </is>
      </c>
      <c r="Q148" s="25" t="inlineStr">
        <is>
          <t>Bonjour Agnès,</t>
        </is>
      </c>
      <c r="S148" s="46" t="inlineStr">
        <is>
          <t>Bonjour Agnès,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49" ht="15" customHeight="1" s="26">
      <c r="A149" s="43" t="inlineStr">
        <is>
          <t>C</t>
        </is>
      </c>
      <c r="B149" s="36" t="inlineStr">
        <is>
          <t>Marcelin</t>
        </is>
      </c>
      <c r="C149" s="36" t="inlineStr">
        <is>
          <t>Delice</t>
        </is>
      </c>
      <c r="D149" s="37" t="inlineStr">
        <is>
          <t>Chroniqueur, Photographie, Journaliste Culturel</t>
        </is>
      </c>
      <c r="E149" s="36" t="inlineStr">
        <is>
          <t>Pigiste</t>
        </is>
      </c>
      <c r="F149" s="36" t="inlineStr">
        <is>
          <t>marcelindelice@gmail.com</t>
        </is>
      </c>
      <c r="G149" s="36" t="n"/>
      <c r="H149" s="36" t="inlineStr">
        <is>
          <t>Montréal</t>
        </is>
      </c>
      <c r="I149" s="37" t="inlineStr">
        <is>
          <t>Art de vivre; Environnement</t>
        </is>
      </c>
      <c r="J149" s="36" t="n"/>
      <c r="K149" s="42" t="inlineStr">
        <is>
          <t>Ouvrir</t>
        </is>
      </c>
      <c r="L149" s="38" t="n"/>
      <c r="M149" s="38" t="n"/>
      <c r="N149" s="39" t="n"/>
      <c r="O149" s="25" t="inlineStr">
        <is>
          <t>D</t>
        </is>
      </c>
      <c r="P149" s="25" t="inlineStr">
        <is>
          <t>Le monarque, l'asclepiade, et l'idee qu'il faut la rendre payante</t>
        </is>
      </c>
      <c r="Q149" s="25" t="inlineStr">
        <is>
          <t>Bonjour Marcelin,</t>
        </is>
      </c>
      <c r="R149" s="25" t="inlineStr">
        <is>
          <t>Adresse personnelle : individualiser vraiment</t>
        </is>
      </c>
      <c r="S149" s="46" t="inlineStr">
        <is>
          <t>Bonjour Marcelin,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50" ht="15" customHeight="1" s="26">
      <c r="A150" s="43" t="inlineStr">
        <is>
          <t>C</t>
        </is>
      </c>
      <c r="B150" s="36" t="inlineStr">
        <is>
          <t>Alain</t>
        </is>
      </c>
      <c r="C150" s="36" t="inlineStr">
        <is>
          <t>Demers</t>
        </is>
      </c>
      <c r="D150" s="37" t="inlineStr">
        <is>
          <t>Chroniqueur - reporter</t>
        </is>
      </c>
      <c r="E150" s="36" t="inlineStr">
        <is>
          <t>Pigiste</t>
        </is>
      </c>
      <c r="F150" s="36" t="inlineStr">
        <is>
          <t>alain.demers@quebecormedia.com</t>
        </is>
      </c>
      <c r="G150" s="36" t="n"/>
      <c r="H150" s="36" t="inlineStr">
        <is>
          <t>Montréal</t>
        </is>
      </c>
      <c r="I150" s="37" t="inlineStr">
        <is>
          <t>Plein air</t>
        </is>
      </c>
      <c r="J150" s="36" t="n"/>
      <c r="K150" s="42" t="inlineStr">
        <is>
          <t>Ouvrir</t>
        </is>
      </c>
      <c r="L150" s="38" t="n"/>
      <c r="M150" s="38" t="n"/>
      <c r="N150" s="39" t="n"/>
      <c r="O150" s="25" t="inlineStr">
        <is>
          <t>F</t>
        </is>
      </c>
      <c r="P150" s="25" t="inlineStr">
        <is>
          <t>L'asclepiade contre le duvet, et ce que les tests disent vraiment</t>
        </is>
      </c>
      <c r="Q150" s="25" t="inlineStr">
        <is>
          <t>Bonjour Alain,</t>
        </is>
      </c>
      <c r="R150" s="25" t="inlineStr">
        <is>
          <t>Adresse personnelle : individualiser vraiment</t>
        </is>
      </c>
      <c r="S150" s="46" t="inlineStr">
        <is>
          <t>Bonjour Alain,
La soie d'asclépiade est une fibre creuse et hydrophobe attachée aux graines de la plante. À poids égal, la littérature la donne pour environ 10 % plus isolante que le duvet. C'est un repère de laboratoire, pas une promesse de manteau.
Le 17 septembre, Lasclay est dans le premier épisode de la 21e saison de Dragons' Den, sur CBC et CBC Gem.
Je ne peux pas dire comment ça s'est terminé avant la diffusion.
C'est pour ça que je préfère que vous testiez plutôt que de me croire. Je peux vous envoyer un produit avant l'hiver, sans condition et sans droit de regard sur ce que vous en écrirez.</t>
        </is>
      </c>
    </row>
    <row r="151" ht="15" customHeight="1" s="26">
      <c r="A151" s="43" t="inlineStr">
        <is>
          <t>C</t>
        </is>
      </c>
      <c r="B151" s="36" t="inlineStr">
        <is>
          <t>Ivanoh</t>
        </is>
      </c>
      <c r="C151" s="36" t="inlineStr">
        <is>
          <t>Demers</t>
        </is>
      </c>
      <c r="D151" s="37" t="inlineStr">
        <is>
          <t>Photographe de presse</t>
        </is>
      </c>
      <c r="E151" s="36" t="inlineStr">
        <is>
          <t>Radio-Canada</t>
        </is>
      </c>
      <c r="F151" s="36" t="inlineStr">
        <is>
          <t>ivanoh.demers@radio-canada.ca</t>
        </is>
      </c>
      <c r="G151" s="36" t="inlineStr">
        <is>
          <t>5148846140</t>
        </is>
      </c>
      <c r="H151" s="36" t="inlineStr">
        <is>
          <t>Montréal</t>
        </is>
      </c>
      <c r="I151" s="37" t="inlineStr">
        <is>
          <t>Économie</t>
        </is>
      </c>
      <c r="J151" s="36" t="n"/>
      <c r="K151" s="42" t="inlineStr">
        <is>
          <t>Ouvrir</t>
        </is>
      </c>
      <c r="L151" s="38" t="n"/>
      <c r="M151" s="38" t="n"/>
      <c r="N151" s="39" t="n"/>
      <c r="O151" s="25" t="inlineStr">
        <is>
          <t>E</t>
        </is>
      </c>
      <c r="P151" s="25" t="inlineStr">
        <is>
          <t>Une PME qui a rapatrie sa production, puis en a delocalise une partie</t>
        </is>
      </c>
      <c r="Q151" s="25" t="inlineStr">
        <is>
          <t>Bonjour Ivanoh,</t>
        </is>
      </c>
      <c r="S151" s="46" t="inlineStr">
        <is>
          <t>Bonjour Ivanoh,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52" ht="15" customHeight="1" s="26">
      <c r="A152" s="43" t="inlineStr">
        <is>
          <t>C</t>
        </is>
      </c>
      <c r="B152" s="36" t="inlineStr">
        <is>
          <t>Claude</t>
        </is>
      </c>
      <c r="C152" s="36" t="inlineStr">
        <is>
          <t>Deschênes</t>
        </is>
      </c>
      <c r="D152" s="37" t="inlineStr">
        <is>
          <t>Journaliste</t>
        </is>
      </c>
      <c r="E152" s="36" t="inlineStr">
        <is>
          <t>Avenues.ca</t>
        </is>
      </c>
      <c r="F152" s="36" t="inlineStr">
        <is>
          <t>claude.deschenes3@gmail.com</t>
        </is>
      </c>
      <c r="G152" s="36" t="n"/>
      <c r="H152" s="36" t="inlineStr">
        <is>
          <t>Montréal</t>
        </is>
      </c>
      <c r="I152" s="37" t="inlineStr">
        <is>
          <t>Art de vivre</t>
        </is>
      </c>
      <c r="J152" s="36" t="n"/>
      <c r="K152" s="42" t="inlineStr">
        <is>
          <t>Ouvrir</t>
        </is>
      </c>
      <c r="L152" s="38" t="n"/>
      <c r="M152" s="38" t="n"/>
      <c r="N152" s="39" t="n"/>
      <c r="O152" s="25" t="inlineStr">
        <is>
          <t>G</t>
        </is>
      </c>
      <c r="P152" s="25" t="inlineStr">
        <is>
          <t>Un manteau isole avec une mauvaise herbe, au premier episode de Dragons' Den</t>
        </is>
      </c>
      <c r="Q152" s="25" t="inlineStr">
        <is>
          <t>Bonjour Claude,</t>
        </is>
      </c>
      <c r="R152" s="25" t="inlineStr">
        <is>
          <t>Adresse personnelle : individualiser vraiment</t>
        </is>
      </c>
      <c r="S152" s="46" t="inlineStr">
        <is>
          <t>Bonjour Claude,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53" ht="15" customHeight="1" s="26">
      <c r="A153" s="43" t="inlineStr">
        <is>
          <t>C</t>
        </is>
      </c>
      <c r="B153" s="36" t="inlineStr">
        <is>
          <t>Thomas</t>
        </is>
      </c>
      <c r="C153" s="36" t="inlineStr">
        <is>
          <t>Deshaies</t>
        </is>
      </c>
      <c r="D153" s="37" t="inlineStr">
        <is>
          <t>Journaliste</t>
        </is>
      </c>
      <c r="E153" s="36" t="inlineStr">
        <is>
          <t>Radio-Canada (QC)</t>
        </is>
      </c>
      <c r="F153" s="36" t="inlineStr">
        <is>
          <t>thomas.deshaies@radio-canada.ca</t>
        </is>
      </c>
      <c r="G153" s="36" t="inlineStr">
        <is>
          <t>514-914-4168</t>
        </is>
      </c>
      <c r="H153" s="36" t="inlineStr">
        <is>
          <t>Estrie</t>
        </is>
      </c>
      <c r="I153" s="37" t="inlineStr">
        <is>
          <t>Environnement</t>
        </is>
      </c>
      <c r="J153" s="36" t="n"/>
      <c r="K153" s="42" t="inlineStr">
        <is>
          <t>Ouvrir</t>
        </is>
      </c>
      <c r="L153" s="38" t="n"/>
      <c r="M153" s="38" t="n"/>
      <c r="N153" s="39" t="n"/>
      <c r="O153" s="25" t="inlineStr">
        <is>
          <t>B</t>
        </is>
      </c>
      <c r="P153" s="25" t="inlineStr">
        <is>
          <t>Estrie : Lasclay au premier episode de la 21e saison de Dragons' Den</t>
        </is>
      </c>
      <c r="Q153" s="25" t="inlineStr">
        <is>
          <t>Bonjour Thomas,</t>
        </is>
      </c>
      <c r="S153" s="46" t="inlineStr">
        <is>
          <t>Bonjour Thomas,
Une des usines de transformation de l'asclépiade était à Granby. Elle a fermé avec le reste de la filière, et l'Estrie compte encore des producteurs de la plante.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54" ht="23.85" customHeight="1" s="26">
      <c r="A154" s="43" t="inlineStr">
        <is>
          <t>C</t>
        </is>
      </c>
      <c r="B154" s="36" t="inlineStr">
        <is>
          <t>Claude</t>
        </is>
      </c>
      <c r="C154" s="36" t="inlineStr">
        <is>
          <t>Desjardins</t>
        </is>
      </c>
      <c r="D154" s="37" t="inlineStr">
        <is>
          <t>Fondateur Forum et webzine Québec-Politique.com 2005-2010</t>
        </is>
      </c>
      <c r="E154" s="36" t="inlineStr">
        <is>
          <t>Pigiste</t>
        </is>
      </c>
      <c r="F154" s="36" t="inlineStr">
        <is>
          <t>jardinsclaudes@gmail.com</t>
        </is>
      </c>
      <c r="G154" s="36" t="inlineStr">
        <is>
          <t>5148035270</t>
        </is>
      </c>
      <c r="H154" s="36" t="inlineStr">
        <is>
          <t>Lanaudière</t>
        </is>
      </c>
      <c r="I154" s="37" t="inlineStr">
        <is>
          <t>Économie</t>
        </is>
      </c>
      <c r="J154" s="36" t="n"/>
      <c r="K154" s="42" t="inlineStr">
        <is>
          <t>Ouvrir</t>
        </is>
      </c>
      <c r="L154" s="38" t="n"/>
      <c r="M154" s="38" t="n"/>
      <c r="N154" s="39" t="n"/>
      <c r="O154" s="25" t="inlineStr">
        <is>
          <t>E</t>
        </is>
      </c>
      <c r="P154" s="25" t="inlineStr">
        <is>
          <t>Une PME qui a rapatrie sa production, puis en a delocalise une partie</t>
        </is>
      </c>
      <c r="Q154" s="25" t="inlineStr">
        <is>
          <t>Bonjour Claude,</t>
        </is>
      </c>
      <c r="R154" s="25" t="inlineStr">
        <is>
          <t>Adresse personnelle : individualiser vraiment</t>
        </is>
      </c>
      <c r="S154" s="46" t="inlineStr">
        <is>
          <t>Bonjour Claude,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55" ht="15" customHeight="1" s="26">
      <c r="A155" s="43" t="inlineStr">
        <is>
          <t>C</t>
        </is>
      </c>
      <c r="B155" s="36" t="inlineStr">
        <is>
          <t>Martine</t>
        </is>
      </c>
      <c r="C155" s="36" t="inlineStr">
        <is>
          <t>Deslauriers</t>
        </is>
      </c>
      <c r="D155" s="37" t="inlineStr">
        <is>
          <t>Photographe</t>
        </is>
      </c>
      <c r="E155" s="36" t="inlineStr">
        <is>
          <t>Pigiste</t>
        </is>
      </c>
      <c r="F155" s="36" t="inlineStr">
        <is>
          <t>mdeslauriersmba@gmail.com</t>
        </is>
      </c>
      <c r="G155" s="36" t="n"/>
      <c r="H155" s="36" t="inlineStr">
        <is>
          <t>Montréal</t>
        </is>
      </c>
      <c r="I155" s="37" t="inlineStr">
        <is>
          <t>Environnement</t>
        </is>
      </c>
      <c r="J155" s="36" t="n"/>
      <c r="K155" s="42" t="inlineStr">
        <is>
          <t>Ouvrir</t>
        </is>
      </c>
      <c r="L155" s="38" t="n"/>
      <c r="M155" s="38" t="n"/>
      <c r="N155" s="39" t="n"/>
      <c r="O155" s="25" t="inlineStr">
        <is>
          <t>D</t>
        </is>
      </c>
      <c r="P155" s="25" t="inlineStr">
        <is>
          <t>Le monarque, l'asclepiade, et l'idee qu'il faut la rendre payante</t>
        </is>
      </c>
      <c r="Q155" s="25" t="inlineStr">
        <is>
          <t>Bonjour Martine,</t>
        </is>
      </c>
      <c r="R155" s="25" t="inlineStr">
        <is>
          <t>Adresse personnelle : individualiser vraiment</t>
        </is>
      </c>
      <c r="S155" s="46" t="inlineStr">
        <is>
          <t>Bonjour Martine,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56" ht="15" customHeight="1" s="26">
      <c r="A156" s="43" t="inlineStr">
        <is>
          <t>C</t>
        </is>
      </c>
      <c r="B156" s="36" t="inlineStr">
        <is>
          <t>Marie-Claude</t>
        </is>
      </c>
      <c r="C156" s="36" t="inlineStr">
        <is>
          <t>Di Lillo</t>
        </is>
      </c>
      <c r="D156" s="37" t="inlineStr">
        <is>
          <t>Journaliste et chroniqueuse</t>
        </is>
      </c>
      <c r="E156" s="36" t="inlineStr">
        <is>
          <t>Châtelaine</t>
        </is>
      </c>
      <c r="F156" s="36" t="inlineStr">
        <is>
          <t>mcdilillo@videotron.ca</t>
        </is>
      </c>
      <c r="G156" s="36" t="inlineStr">
        <is>
          <t>5142483136</t>
        </is>
      </c>
      <c r="H156" s="36" t="inlineStr">
        <is>
          <t>Laval</t>
        </is>
      </c>
      <c r="I156" s="37" t="inlineStr">
        <is>
          <t>Art de vivre; Consommation</t>
        </is>
      </c>
      <c r="J156" s="36" t="n"/>
      <c r="K156" s="42" t="inlineStr">
        <is>
          <t>Ouvrir</t>
        </is>
      </c>
      <c r="L156" s="38" t="n"/>
      <c r="M156" s="38" t="n"/>
      <c r="N156" s="39" t="n"/>
      <c r="O156" s="25" t="inlineStr">
        <is>
          <t>B</t>
        </is>
      </c>
      <c r="P156" s="25" t="inlineStr">
        <is>
          <t>Laval : Lasclay au premier episode de la 21e saison de Dragons' Den</t>
        </is>
      </c>
      <c r="Q156" s="25" t="inlineStr">
        <is>
          <t>Bonjour Marie-Claude,</t>
        </is>
      </c>
      <c r="R156" s="25" t="inlineStr">
        <is>
          <t>Adresse personnelle : individualiser vraiment</t>
        </is>
      </c>
      <c r="S156" s="46" t="inlineStr">
        <is>
          <t>Bonjour Marie-Claude,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57" ht="15" customHeight="1" s="26">
      <c r="A157" s="43" t="inlineStr">
        <is>
          <t>C</t>
        </is>
      </c>
      <c r="B157" s="36" t="inlineStr">
        <is>
          <t>Jean-René</t>
        </is>
      </c>
      <c r="C157" s="36" t="inlineStr">
        <is>
          <t>Dufort</t>
        </is>
      </c>
      <c r="D157" s="37" t="inlineStr">
        <is>
          <t>animateur, rédacteur en chef, reportage</t>
        </is>
      </c>
      <c r="E157" s="36" t="inlineStr">
        <is>
          <t>Zone3</t>
        </is>
      </c>
      <c r="F157" s="36" t="inlineStr">
        <is>
          <t>jean-rene.dufort@radio-canada.ca</t>
        </is>
      </c>
      <c r="G157" s="36" t="inlineStr">
        <is>
          <t>514 9921566</t>
        </is>
      </c>
      <c r="H157" s="36" t="inlineStr">
        <is>
          <t>Montréal</t>
        </is>
      </c>
      <c r="I157" s="37" t="inlineStr">
        <is>
          <t>Sciences</t>
        </is>
      </c>
      <c r="J157" s="36" t="n"/>
      <c r="K157" s="42" t="inlineStr">
        <is>
          <t>Ouvrir</t>
        </is>
      </c>
      <c r="L157" s="38" t="n"/>
      <c r="M157" s="38" t="n"/>
      <c r="N157" s="39" t="n"/>
      <c r="O157" s="25" t="inlineStr">
        <is>
          <t>I</t>
        </is>
      </c>
      <c r="P157" s="25" t="inlineStr">
        <is>
          <t>Invite disponible : Lasclay a Dragons' Den le 17 septembre</t>
        </is>
      </c>
      <c r="Q157" s="25" t="inlineStr">
        <is>
          <t>Bonjour Jean-René,</t>
        </is>
      </c>
      <c r="S157" s="46" t="inlineStr">
        <is>
          <t>Bonjour Jean-René,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58" ht="15" customHeight="1" s="26">
      <c r="A158" s="43" t="inlineStr">
        <is>
          <t>C</t>
        </is>
      </c>
      <c r="B158" s="36" t="inlineStr">
        <is>
          <t>Richard</t>
        </is>
      </c>
      <c r="C158" s="36" t="inlineStr">
        <is>
          <t>Dupaul</t>
        </is>
      </c>
      <c r="D158" s="37" t="inlineStr">
        <is>
          <t>Journaliste</t>
        </is>
      </c>
      <c r="E158" s="36" t="inlineStr">
        <is>
          <t>Pigiste</t>
        </is>
      </c>
      <c r="F158" s="36" t="inlineStr">
        <is>
          <t>richard.dupaul@gmail.com</t>
        </is>
      </c>
      <c r="G158" s="36" t="n"/>
      <c r="H158" s="36" t="inlineStr">
        <is>
          <t>Montréal</t>
        </is>
      </c>
      <c r="I158" s="37" t="inlineStr">
        <is>
          <t>Économie</t>
        </is>
      </c>
      <c r="J158" s="36" t="n"/>
      <c r="K158" s="42" t="inlineStr">
        <is>
          <t>Ouvrir</t>
        </is>
      </c>
      <c r="L158" s="38" t="n"/>
      <c r="M158" s="38" t="n"/>
      <c r="N158" s="39" t="n"/>
      <c r="O158" s="25" t="inlineStr">
        <is>
          <t>E</t>
        </is>
      </c>
      <c r="P158" s="25" t="inlineStr">
        <is>
          <t>Une PME qui a rapatrie sa production, puis en a delocalise une partie</t>
        </is>
      </c>
      <c r="Q158" s="25" t="inlineStr">
        <is>
          <t>Bonjour Richard,</t>
        </is>
      </c>
      <c r="R158" s="25" t="inlineStr">
        <is>
          <t>Adresse personnelle : individualiser vraiment</t>
        </is>
      </c>
      <c r="S158" s="46" t="inlineStr">
        <is>
          <t>Bonjour Richard,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59" ht="15" customHeight="1" s="26">
      <c r="A159" s="43" t="inlineStr">
        <is>
          <t>C</t>
        </is>
      </c>
      <c r="B159" s="36" t="inlineStr">
        <is>
          <t>Stéphanie</t>
        </is>
      </c>
      <c r="C159" s="36" t="inlineStr">
        <is>
          <t>Dupuis</t>
        </is>
      </c>
      <c r="D159" s="37" t="inlineStr">
        <is>
          <t>Journaliste</t>
        </is>
      </c>
      <c r="E159" s="36" t="inlineStr">
        <is>
          <t>Radio-Canada (Montréal)</t>
        </is>
      </c>
      <c r="F159" s="36" t="inlineStr">
        <is>
          <t>dupuis.stephanie@outlook.com</t>
        </is>
      </c>
      <c r="G159" s="36" t="inlineStr">
        <is>
          <t>5148312787</t>
        </is>
      </c>
      <c r="H159" s="36" t="inlineStr">
        <is>
          <t>Montréal</t>
        </is>
      </c>
      <c r="I159" s="37" t="inlineStr">
        <is>
          <t>Art de vivre; Consommation</t>
        </is>
      </c>
      <c r="J159" s="36" t="n"/>
      <c r="K159" s="42" t="inlineStr">
        <is>
          <t>Ouvrir</t>
        </is>
      </c>
      <c r="L159" s="38" t="n"/>
      <c r="M159" s="38" t="n"/>
      <c r="N159" s="39" t="n"/>
      <c r="O159" s="25" t="inlineStr">
        <is>
          <t>G</t>
        </is>
      </c>
      <c r="P159" s="25" t="inlineStr">
        <is>
          <t>Un manteau isole avec une mauvaise herbe, au premier episode de Dragons' Den</t>
        </is>
      </c>
      <c r="Q159" s="25" t="inlineStr">
        <is>
          <t>Bonjour Stéphanie,</t>
        </is>
      </c>
      <c r="R159" s="25" t="inlineStr">
        <is>
          <t>Adresse personnelle : individualiser vraiment</t>
        </is>
      </c>
      <c r="S159" s="46" t="inlineStr">
        <is>
          <t>Bonjour Stéphanie,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60" ht="15" customHeight="1" s="26">
      <c r="A160" s="43" t="inlineStr">
        <is>
          <t>C</t>
        </is>
      </c>
      <c r="B160" s="36" t="inlineStr">
        <is>
          <t>Maxim</t>
        </is>
      </c>
      <c r="C160" s="36" t="inlineStr">
        <is>
          <t>Fauteux</t>
        </is>
      </c>
      <c r="D160" s="37" t="inlineStr">
        <is>
          <t>Journaliste en formation</t>
        </is>
      </c>
      <c r="E160" s="36" t="inlineStr">
        <is>
          <t>Pigiste</t>
        </is>
      </c>
      <c r="F160" s="36" t="inlineStr">
        <is>
          <t>2433413@etu.cegepjonquiere.ca</t>
        </is>
      </c>
      <c r="G160" s="36" t="n"/>
      <c r="H160" s="36" t="inlineStr">
        <is>
          <t>Saguenay - Lac-Saint-Jean</t>
        </is>
      </c>
      <c r="I160" s="37" t="inlineStr">
        <is>
          <t>Environnement</t>
        </is>
      </c>
      <c r="J160" s="36" t="n"/>
      <c r="K160" s="42" t="inlineStr">
        <is>
          <t>Ouvrir</t>
        </is>
      </c>
      <c r="L160" s="38" t="n"/>
      <c r="M160" s="38" t="n"/>
      <c r="N160" s="39" t="n"/>
      <c r="O160" s="25" t="inlineStr">
        <is>
          <t>D</t>
        </is>
      </c>
      <c r="P160" s="25" t="inlineStr">
        <is>
          <t>Le monarque, l'asclepiade, et l'idee qu'il faut la rendre payante</t>
        </is>
      </c>
      <c r="Q160" s="25" t="inlineStr">
        <is>
          <t>Bonjour Maxim,</t>
        </is>
      </c>
      <c r="R160" s="25" t="inlineStr">
        <is>
          <t>Adresse personnelle : individualiser vraiment</t>
        </is>
      </c>
      <c r="S160" s="46" t="inlineStr">
        <is>
          <t>Bonjour Maxim,
Un de nos fournisseurs d'asclépiade cultive au Lac-Saint-Jean depuis nos débuts, et il l'est encore aujourd'hui. Pour une filière qui s'est effondrée en 2018, ce n'est pas banal.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61" ht="15" customHeight="1" s="26">
      <c r="A161" s="43" t="inlineStr">
        <is>
          <t>C</t>
        </is>
      </c>
      <c r="B161" s="36" t="inlineStr">
        <is>
          <t>Ronald</t>
        </is>
      </c>
      <c r="C161" s="36" t="inlineStr">
        <is>
          <t>Georges</t>
        </is>
      </c>
      <c r="D161" s="37" t="inlineStr">
        <is>
          <t>Journaliste - commentateur</t>
        </is>
      </c>
      <c r="E161" s="36" t="inlineStr">
        <is>
          <t>Radio-Canada (Radio - Montréal)</t>
        </is>
      </c>
      <c r="F161" s="36" t="inlineStr">
        <is>
          <t>ronald.georges@radio-canada.ca</t>
        </is>
      </c>
      <c r="G161" s="36" t="inlineStr">
        <is>
          <t>514 597-7989</t>
        </is>
      </c>
      <c r="H161" s="36" t="inlineStr">
        <is>
          <t>Montréal</t>
        </is>
      </c>
      <c r="I161" s="37" t="inlineStr">
        <is>
          <t>Art de vivre; Consommation</t>
        </is>
      </c>
      <c r="J161" s="36" t="n"/>
      <c r="K161" s="42" t="inlineStr">
        <is>
          <t>Ouvrir</t>
        </is>
      </c>
      <c r="L161" s="38" t="n"/>
      <c r="M161" s="38" t="n"/>
      <c r="N161" s="39" t="n"/>
      <c r="O161" s="25" t="inlineStr">
        <is>
          <t>I</t>
        </is>
      </c>
      <c r="P161" s="25" t="inlineStr">
        <is>
          <t>Invite disponible : Lasclay a Dragons' Den le 17 septembre</t>
        </is>
      </c>
      <c r="Q161" s="25" t="inlineStr">
        <is>
          <t>Bonjour Ronald,</t>
        </is>
      </c>
      <c r="S161" s="46" t="inlineStr">
        <is>
          <t>Bonjour Ronald,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62" ht="15" customHeight="1" s="26">
      <c r="A162" s="43" t="inlineStr">
        <is>
          <t>C</t>
        </is>
      </c>
      <c r="B162" s="36" t="inlineStr">
        <is>
          <t>Stéphane</t>
        </is>
      </c>
      <c r="C162" s="36" t="inlineStr">
        <is>
          <t>Giroux</t>
        </is>
      </c>
      <c r="D162" s="37" t="inlineStr">
        <is>
          <t>Journaliste</t>
        </is>
      </c>
      <c r="E162" s="36" t="inlineStr">
        <is>
          <t>Bell Média</t>
        </is>
      </c>
      <c r="F162" s="36" t="inlineStr">
        <is>
          <t>stephane.giroux@bellmedia.ca</t>
        </is>
      </c>
      <c r="G162" s="36" t="n"/>
      <c r="H162" s="36" t="inlineStr">
        <is>
          <t>Montréal</t>
        </is>
      </c>
      <c r="I162" s="37" t="inlineStr">
        <is>
          <t>Économie</t>
        </is>
      </c>
      <c r="J162" s="36" t="n"/>
      <c r="K162" s="42" t="inlineStr">
        <is>
          <t>Ouvrir</t>
        </is>
      </c>
      <c r="L162" s="38" t="n"/>
      <c r="M162" s="38" t="n"/>
      <c r="N162" s="39" t="n"/>
      <c r="O162" s="25" t="inlineStr">
        <is>
          <t>E</t>
        </is>
      </c>
      <c r="P162" s="25" t="inlineStr">
        <is>
          <t>Une PME qui a rapatrie sa production, puis en a delocalise une partie</t>
        </is>
      </c>
      <c r="Q162" s="25" t="inlineStr">
        <is>
          <t>Bonjour Stéphane,</t>
        </is>
      </c>
      <c r="S162" s="46" t="inlineStr">
        <is>
          <t>Bonjour Stéphane,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63" ht="15" customHeight="1" s="26">
      <c r="A163" s="43" t="inlineStr">
        <is>
          <t>C</t>
        </is>
      </c>
      <c r="B163" s="36" t="inlineStr">
        <is>
          <t>Zacharie</t>
        </is>
      </c>
      <c r="C163" s="36" t="inlineStr">
        <is>
          <t>Goudreault</t>
        </is>
      </c>
      <c r="D163" s="37" t="inlineStr">
        <is>
          <t>Journaliste</t>
        </is>
      </c>
      <c r="E163" s="36" t="inlineStr">
        <is>
          <t>Le Devoir</t>
        </is>
      </c>
      <c r="F163" s="36" t="inlineStr">
        <is>
          <t>zgoudreault@ledevoir.com</t>
        </is>
      </c>
      <c r="G163" s="36" t="inlineStr">
        <is>
          <t>514 985-3333</t>
        </is>
      </c>
      <c r="H163" s="36" t="inlineStr">
        <is>
          <t>Montréal</t>
        </is>
      </c>
      <c r="I163" s="37" t="inlineStr">
        <is>
          <t>Environnement</t>
        </is>
      </c>
      <c r="J163" s="36" t="n"/>
      <c r="K163" s="42" t="inlineStr">
        <is>
          <t>Ouvrir</t>
        </is>
      </c>
      <c r="L163" s="38" t="n"/>
      <c r="M163" s="38" t="n"/>
      <c r="N163" s="39" t="n"/>
      <c r="O163" s="25" t="inlineStr">
        <is>
          <t>D</t>
        </is>
      </c>
      <c r="P163" s="25" t="inlineStr">
        <is>
          <t>Le monarque, l'asclepiade, et l'idee qu'il faut la rendre payante</t>
        </is>
      </c>
      <c r="Q163" s="25" t="inlineStr">
        <is>
          <t>Bonjour Zacharie,</t>
        </is>
      </c>
      <c r="S163" s="46" t="inlineStr">
        <is>
          <t>Bonjour Zacharie,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64" ht="15" customHeight="1" s="26">
      <c r="A164" s="43" t="inlineStr">
        <is>
          <t>C</t>
        </is>
      </c>
      <c r="B164" s="36" t="inlineStr">
        <is>
          <t>Isabelle</t>
        </is>
      </c>
      <c r="C164" s="36" t="inlineStr">
        <is>
          <t>Grégoire</t>
        </is>
      </c>
      <c r="D164" s="37" t="inlineStr">
        <is>
          <t>Journaliste</t>
        </is>
      </c>
      <c r="E164" s="36" t="inlineStr">
        <is>
          <t>Pigiste</t>
        </is>
      </c>
      <c r="F164" s="36" t="inlineStr">
        <is>
          <t>gregisa@gmail.com</t>
        </is>
      </c>
      <c r="G164" s="36" t="n"/>
      <c r="H164" s="36" t="inlineStr">
        <is>
          <t>Montréal</t>
        </is>
      </c>
      <c r="I164" s="37" t="inlineStr">
        <is>
          <t>Art de vivre</t>
        </is>
      </c>
      <c r="J164" s="36" t="n"/>
      <c r="K164" s="42" t="inlineStr">
        <is>
          <t>Ouvrir</t>
        </is>
      </c>
      <c r="L164" s="38" t="n"/>
      <c r="M164" s="38" t="n"/>
      <c r="N164" s="39" t="n"/>
      <c r="O164" s="25" t="inlineStr">
        <is>
          <t>G</t>
        </is>
      </c>
      <c r="P164" s="25" t="inlineStr">
        <is>
          <t>Un manteau isole avec une mauvaise herbe, au premier episode de Dragons' Den</t>
        </is>
      </c>
      <c r="Q164" s="25" t="inlineStr">
        <is>
          <t>Bonjour Isabelle,</t>
        </is>
      </c>
      <c r="R164" s="25" t="inlineStr">
        <is>
          <t>Adresse personnelle : individualiser vraiment</t>
        </is>
      </c>
      <c r="S164" s="46" t="inlineStr">
        <is>
          <t>Bonjour Isabelle,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65" ht="15" customHeight="1" s="26">
      <c r="A165" s="43" t="inlineStr">
        <is>
          <t>C</t>
        </is>
      </c>
      <c r="B165" s="36" t="inlineStr">
        <is>
          <t>Chantal</t>
        </is>
      </c>
      <c r="C165" s="36" t="inlineStr">
        <is>
          <t>Guy</t>
        </is>
      </c>
      <c r="D165" s="37" t="inlineStr">
        <is>
          <t>Chroniqueuse</t>
        </is>
      </c>
      <c r="E165" s="36" t="inlineStr">
        <is>
          <t>La Presse</t>
        </is>
      </c>
      <c r="F165" s="36" t="inlineStr">
        <is>
          <t>cguy@lapresse.ca</t>
        </is>
      </c>
      <c r="G165" s="36" t="inlineStr">
        <is>
          <t>514 285-7070</t>
        </is>
      </c>
      <c r="H165" s="36" t="inlineStr">
        <is>
          <t>Montréal</t>
        </is>
      </c>
      <c r="I165" s="37" t="inlineStr">
        <is>
          <t>Art de vivre</t>
        </is>
      </c>
      <c r="J165" s="36" t="n"/>
      <c r="K165" s="42" t="inlineStr">
        <is>
          <t>Ouvrir</t>
        </is>
      </c>
      <c r="L165" s="38" t="n"/>
      <c r="M165" s="38" t="n"/>
      <c r="N165" s="39" t="n"/>
      <c r="O165" s="25" t="inlineStr">
        <is>
          <t>G</t>
        </is>
      </c>
      <c r="P165" s="25" t="inlineStr">
        <is>
          <t>Un manteau isole avec une mauvaise herbe, au premier episode de Dragons' Den</t>
        </is>
      </c>
      <c r="Q165" s="25" t="inlineStr">
        <is>
          <t>Bonjour Chantal,</t>
        </is>
      </c>
      <c r="S165" s="46" t="inlineStr">
        <is>
          <t>Bonjour Chantal,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66" ht="15" customHeight="1" s="26">
      <c r="A166" s="43" t="inlineStr">
        <is>
          <t>C</t>
        </is>
      </c>
      <c r="B166" s="36" t="inlineStr">
        <is>
          <t>Matthieu</t>
        </is>
      </c>
      <c r="C166" s="36" t="inlineStr">
        <is>
          <t>Hains</t>
        </is>
      </c>
      <c r="D166" s="37" t="inlineStr">
        <is>
          <t>Journaliste</t>
        </is>
      </c>
      <c r="E166" s="36" t="inlineStr">
        <is>
          <t>Les Affaires</t>
        </is>
      </c>
      <c r="F166" s="36" t="inlineStr">
        <is>
          <t>matthieu.hains@groupecontex.ca</t>
        </is>
      </c>
      <c r="G166" s="36" t="inlineStr">
        <is>
          <t>4383891317</t>
        </is>
      </c>
      <c r="H166" s="36" t="inlineStr">
        <is>
          <t>Montréal</t>
        </is>
      </c>
      <c r="I166" s="37" t="inlineStr">
        <is>
          <t>Économie</t>
        </is>
      </c>
      <c r="J166" s="36" t="n"/>
      <c r="K166" s="42" t="inlineStr">
        <is>
          <t>Ouvrir</t>
        </is>
      </c>
      <c r="L166" s="38" t="n"/>
      <c r="M166" s="38" t="n"/>
      <c r="N166" s="39" t="n"/>
      <c r="O166" s="25" t="inlineStr">
        <is>
          <t>E</t>
        </is>
      </c>
      <c r="P166" s="25" t="inlineStr">
        <is>
          <t>Une PME qui a rapatrie sa production, puis en a delocalise une partie</t>
        </is>
      </c>
      <c r="Q166" s="25" t="inlineStr">
        <is>
          <t>Bonjour Matthieu,</t>
        </is>
      </c>
      <c r="S166" s="46" t="inlineStr">
        <is>
          <t>Bonjour Matthieu,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67" ht="15" customHeight="1" s="26">
      <c r="A167" s="43" t="inlineStr">
        <is>
          <t>C</t>
        </is>
      </c>
      <c r="B167" s="36" t="inlineStr">
        <is>
          <t>Francis</t>
        </is>
      </c>
      <c r="C167" s="36" t="inlineStr">
        <is>
          <t>Higgins</t>
        </is>
      </c>
      <c r="D167" s="37" t="inlineStr">
        <is>
          <t>Journaliste</t>
        </is>
      </c>
      <c r="E167" s="36" t="inlineStr">
        <is>
          <t>Le Soleil</t>
        </is>
      </c>
      <c r="F167" s="36" t="inlineStr">
        <is>
          <t>fhiggins@lesoleil.com</t>
        </is>
      </c>
      <c r="G167" s="36" t="inlineStr">
        <is>
          <t>418 686-3233 poste 2409</t>
        </is>
      </c>
      <c r="H167" s="36" t="inlineStr">
        <is>
          <t>Capitale-Nationale/Chaudière-Appalaches</t>
        </is>
      </c>
      <c r="I167" s="37" t="inlineStr">
        <is>
          <t>Agriculture; Art de vivre; Consommation</t>
        </is>
      </c>
      <c r="J167" s="43" t="inlineStr">
        <is>
          <t>Oui</t>
        </is>
      </c>
      <c r="K167" s="42" t="inlineStr">
        <is>
          <t>Ouvrir</t>
        </is>
      </c>
      <c r="L167" s="38" t="n"/>
      <c r="M167" s="38" t="n"/>
      <c r="N167" s="39" t="n"/>
      <c r="O167" s="25" t="inlineStr">
        <is>
          <t>—</t>
        </is>
      </c>
      <c r="P167" s="25" t="inlineStr"/>
      <c r="Q167" s="25" t="inlineStr">
        <is>
          <t>Bonjour Francis,</t>
        </is>
      </c>
      <c r="R167" s="25" t="inlineStr">
        <is>
          <t>DOUBLON : deja traite en liste chaude, ne pas envoyer</t>
        </is>
      </c>
      <c r="S167" s="46" t="inlineStr">
        <is>
          <t>NE PAS ENVOYER — doublon de la liste chaude. Le message écrit à la main a préséance.</t>
        </is>
      </c>
    </row>
    <row r="168" ht="15" customHeight="1" s="26">
      <c r="A168" s="43" t="inlineStr">
        <is>
          <t>C</t>
        </is>
      </c>
      <c r="B168" s="36" t="inlineStr">
        <is>
          <t>ANGELO</t>
        </is>
      </c>
      <c r="C168" s="36" t="inlineStr">
        <is>
          <t>JEAN-BAPTISTE</t>
        </is>
      </c>
      <c r="D168" s="37" t="inlineStr">
        <is>
          <t>JOURNALISTE , COMMENTATAIRE SPORTIF</t>
        </is>
      </c>
      <c r="E168" s="36" t="inlineStr">
        <is>
          <t>Pigiste</t>
        </is>
      </c>
      <c r="F168" s="36" t="inlineStr">
        <is>
          <t>iciangegoal@yahoo.ca</t>
        </is>
      </c>
      <c r="G168" s="36" t="inlineStr">
        <is>
          <t>5144421096</t>
        </is>
      </c>
      <c r="H168" s="36" t="inlineStr">
        <is>
          <t>Montréal</t>
        </is>
      </c>
      <c r="I168" s="37" t="inlineStr">
        <is>
          <t>Environnement</t>
        </is>
      </c>
      <c r="J168" s="36" t="n"/>
      <c r="K168" s="42" t="inlineStr">
        <is>
          <t>Ouvrir</t>
        </is>
      </c>
      <c r="L168" s="38" t="n"/>
      <c r="M168" s="38" t="n"/>
      <c r="N168" s="39" t="n"/>
      <c r="O168" s="25" t="inlineStr">
        <is>
          <t>D</t>
        </is>
      </c>
      <c r="P168" s="25" t="inlineStr">
        <is>
          <t>Le monarque, l'asclepiade, et l'idee qu'il faut la rendre payante</t>
        </is>
      </c>
      <c r="Q168" s="25" t="inlineStr">
        <is>
          <t>Bonjour ANGELO,</t>
        </is>
      </c>
      <c r="R168" s="25" t="inlineStr">
        <is>
          <t>Adresse personnelle : individualiser vraiment</t>
        </is>
      </c>
      <c r="S168" s="46" t="inlineStr">
        <is>
          <t>Bonjour ANGELO,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69" ht="15" customHeight="1" s="26">
      <c r="A169" s="43" t="inlineStr">
        <is>
          <t>C</t>
        </is>
      </c>
      <c r="B169" s="36" t="inlineStr">
        <is>
          <t>Andréanne</t>
        </is>
      </c>
      <c r="C169" s="36" t="inlineStr">
        <is>
          <t>Joly</t>
        </is>
      </c>
      <c r="D169" s="37" t="inlineStr">
        <is>
          <t>Journaliste, rédactrice</t>
        </is>
      </c>
      <c r="E169" s="36" t="inlineStr">
        <is>
          <t>Pigiste</t>
        </is>
      </c>
      <c r="F169" s="36" t="inlineStr">
        <is>
          <t>andreannejoly@gmail.com</t>
        </is>
      </c>
      <c r="G169" s="36" t="inlineStr">
        <is>
          <t>7053321359</t>
        </is>
      </c>
      <c r="H169" s="36" t="inlineStr">
        <is>
          <t>Ontario</t>
        </is>
      </c>
      <c r="I169" s="37" t="inlineStr">
        <is>
          <t>Consommation</t>
        </is>
      </c>
      <c r="J169" s="36" t="n"/>
      <c r="K169" s="42" t="inlineStr">
        <is>
          <t>Ouvrir</t>
        </is>
      </c>
      <c r="L169" s="38" t="n"/>
      <c r="M169" s="38" t="n"/>
      <c r="N169" s="39" t="n"/>
      <c r="O169" s="25" t="inlineStr">
        <is>
          <t>G</t>
        </is>
      </c>
      <c r="P169" s="25" t="inlineStr">
        <is>
          <t>Un manteau isole avec une mauvaise herbe, au premier episode de Dragons' Den</t>
        </is>
      </c>
      <c r="Q169" s="25" t="inlineStr">
        <is>
          <t>Bonjour Andréanne,</t>
        </is>
      </c>
      <c r="R169" s="25" t="inlineStr">
        <is>
          <t>Adresse personnelle : individualiser vraiment</t>
        </is>
      </c>
      <c r="S169" s="46" t="inlineStr">
        <is>
          <t>Bonjour Andréanne,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70" ht="15" customHeight="1" s="26">
      <c r="A170" s="43" t="inlineStr">
        <is>
          <t>C</t>
        </is>
      </c>
      <c r="B170" s="36" t="inlineStr">
        <is>
          <t>Hugo</t>
        </is>
      </c>
      <c r="C170" s="36" t="inlineStr">
        <is>
          <t>Joncas</t>
        </is>
      </c>
      <c r="D170" s="37" t="inlineStr">
        <is>
          <t>Reporter</t>
        </is>
      </c>
      <c r="E170" s="36" t="inlineStr">
        <is>
          <t>La Presse</t>
        </is>
      </c>
      <c r="F170" s="36" t="inlineStr">
        <is>
          <t>hjoncas@lapresse.ca</t>
        </is>
      </c>
      <c r="G170" s="36" t="inlineStr">
        <is>
          <t>438-396-5546</t>
        </is>
      </c>
      <c r="H170" s="36" t="inlineStr">
        <is>
          <t>Montréal</t>
        </is>
      </c>
      <c r="I170" s="37" t="inlineStr">
        <is>
          <t>Économie</t>
        </is>
      </c>
      <c r="J170" s="36" t="n"/>
      <c r="K170" s="42" t="inlineStr">
        <is>
          <t>Ouvrir</t>
        </is>
      </c>
      <c r="L170" s="38" t="n"/>
      <c r="M170" s="38" t="n"/>
      <c r="N170" s="39" t="n"/>
      <c r="O170" s="25" t="inlineStr">
        <is>
          <t>E</t>
        </is>
      </c>
      <c r="P170" s="25" t="inlineStr">
        <is>
          <t>Une PME qui a rapatrie sa production, puis en a delocalise une partie</t>
        </is>
      </c>
      <c r="Q170" s="25" t="inlineStr">
        <is>
          <t>Bonjour Hugo,</t>
        </is>
      </c>
      <c r="S170" s="46" t="inlineStr">
        <is>
          <t>Bonjour Hugo,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71" ht="15" customHeight="1" s="26">
      <c r="A171" s="43" t="inlineStr">
        <is>
          <t>C</t>
        </is>
      </c>
      <c r="B171" s="36" t="inlineStr">
        <is>
          <t>Philémon</t>
        </is>
      </c>
      <c r="C171" s="36" t="inlineStr">
        <is>
          <t>La Frenière-Prémont</t>
        </is>
      </c>
      <c r="D171" s="37" t="inlineStr">
        <is>
          <t>Journaliste à la recherche et pigiste</t>
        </is>
      </c>
      <c r="E171" s="36" t="inlineStr">
        <is>
          <t>Radio-Canada (Radio - Montréal)</t>
        </is>
      </c>
      <c r="F171" s="36" t="inlineStr">
        <is>
          <t>phlemonlpp@gmail.com</t>
        </is>
      </c>
      <c r="G171" s="36" t="inlineStr">
        <is>
          <t>438-391-6723</t>
        </is>
      </c>
      <c r="H171" s="36" t="inlineStr">
        <is>
          <t>Montréal</t>
        </is>
      </c>
      <c r="I171" s="37" t="inlineStr">
        <is>
          <t>Économie</t>
        </is>
      </c>
      <c r="J171" s="36" t="n"/>
      <c r="K171" s="42" t="inlineStr">
        <is>
          <t>Ouvrir</t>
        </is>
      </c>
      <c r="L171" s="38" t="n"/>
      <c r="M171" s="38" t="n"/>
      <c r="N171" s="39" t="n"/>
      <c r="O171" s="25" t="inlineStr">
        <is>
          <t>I</t>
        </is>
      </c>
      <c r="P171" s="25" t="inlineStr">
        <is>
          <t>Invite disponible : Lasclay a Dragons' Den le 17 septembre</t>
        </is>
      </c>
      <c r="Q171" s="25" t="inlineStr">
        <is>
          <t>Bonjour Philémon,</t>
        </is>
      </c>
      <c r="R171" s="25" t="inlineStr">
        <is>
          <t>Adresse personnelle : individualiser vraiment</t>
        </is>
      </c>
      <c r="S171" s="46" t="inlineStr">
        <is>
          <t>Bonjour Philémon,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72" ht="15" customHeight="1" s="26">
      <c r="A172" s="43" t="inlineStr">
        <is>
          <t>C</t>
        </is>
      </c>
      <c r="B172" s="36" t="inlineStr">
        <is>
          <t>Henri</t>
        </is>
      </c>
      <c r="C172" s="36" t="inlineStr">
        <is>
          <t>Laban</t>
        </is>
      </c>
      <c r="D172" s="37" t="inlineStr">
        <is>
          <t>Journaliste - Animateur</t>
        </is>
      </c>
      <c r="E172" s="36" t="inlineStr">
        <is>
          <t>Radio VM Montréal</t>
        </is>
      </c>
      <c r="F172" s="36" t="inlineStr">
        <is>
          <t>hlaban2015@gmail.com</t>
        </is>
      </c>
      <c r="G172" s="36" t="inlineStr">
        <is>
          <t>514382-3913</t>
        </is>
      </c>
      <c r="H172" s="36" t="inlineStr">
        <is>
          <t>Montréal</t>
        </is>
      </c>
      <c r="I172" s="37" t="inlineStr">
        <is>
          <t>Sciences</t>
        </is>
      </c>
      <c r="J172" s="36" t="n"/>
      <c r="K172" s="42" t="inlineStr">
        <is>
          <t>Ouvrir</t>
        </is>
      </c>
      <c r="L172" s="38" t="n"/>
      <c r="M172" s="38" t="n"/>
      <c r="N172" s="39" t="n"/>
      <c r="O172" s="25" t="inlineStr">
        <is>
          <t>I</t>
        </is>
      </c>
      <c r="P172" s="25" t="inlineStr">
        <is>
          <t>Invite disponible : Lasclay a Dragons' Den le 17 septembre</t>
        </is>
      </c>
      <c r="Q172" s="25" t="inlineStr">
        <is>
          <t>Bonjour Henri,</t>
        </is>
      </c>
      <c r="R172" s="25" t="inlineStr">
        <is>
          <t>Adresse personnelle : individualiser vraiment</t>
        </is>
      </c>
      <c r="S172" s="46" t="inlineStr">
        <is>
          <t>Bonjour Henri,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73" ht="15" customHeight="1" s="26">
      <c r="A173" s="43" t="inlineStr">
        <is>
          <t>C</t>
        </is>
      </c>
      <c r="B173" s="36" t="inlineStr">
        <is>
          <t>Annie</t>
        </is>
      </c>
      <c r="C173" s="36" t="inlineStr">
        <is>
          <t>Lafrance</t>
        </is>
      </c>
      <c r="D173" s="37" t="inlineStr">
        <is>
          <t>journaliste coordonnatrice section Affaires</t>
        </is>
      </c>
      <c r="E173" s="36" t="inlineStr">
        <is>
          <t>Le Soleil</t>
        </is>
      </c>
      <c r="F173" s="36" t="inlineStr">
        <is>
          <t>alafrance@lesoleil.com</t>
        </is>
      </c>
      <c r="G173" s="36" t="inlineStr">
        <is>
          <t>4188031830</t>
        </is>
      </c>
      <c r="H173" s="36" t="inlineStr">
        <is>
          <t>Capitale-Nationale/Chaudière-Appalaches</t>
        </is>
      </c>
      <c r="I173" s="37" t="inlineStr">
        <is>
          <t>Consommation; Économie</t>
        </is>
      </c>
      <c r="J173" s="43" t="inlineStr">
        <is>
          <t>Oui</t>
        </is>
      </c>
      <c r="K173" s="42" t="inlineStr">
        <is>
          <t>Ouvrir</t>
        </is>
      </c>
      <c r="L173" s="38" t="n"/>
      <c r="M173" s="38" t="n"/>
      <c r="N173" s="39" t="n"/>
      <c r="O173" s="25" t="inlineStr">
        <is>
          <t>—</t>
        </is>
      </c>
      <c r="P173" s="25" t="inlineStr"/>
      <c r="Q173" s="25" t="inlineStr">
        <is>
          <t>Bonjour Annie,</t>
        </is>
      </c>
      <c r="R173" s="25" t="inlineStr">
        <is>
          <t>DOUBLON : deja traite en liste chaude, ne pas envoyer</t>
        </is>
      </c>
      <c r="S173" s="46" t="inlineStr">
        <is>
          <t>NE PAS ENVOYER — doublon de la liste chaude. Le message écrit à la main a préséance.</t>
        </is>
      </c>
    </row>
    <row r="174" ht="15" customHeight="1" s="26">
      <c r="A174" s="43" t="inlineStr">
        <is>
          <t>C</t>
        </is>
      </c>
      <c r="B174" s="36" t="inlineStr">
        <is>
          <t>Joannie</t>
        </is>
      </c>
      <c r="C174" s="36" t="inlineStr">
        <is>
          <t>Lafrenière</t>
        </is>
      </c>
      <c r="D174" s="37" t="inlineStr">
        <is>
          <t>photographe pigiste</t>
        </is>
      </c>
      <c r="E174" s="36" t="inlineStr">
        <is>
          <t>Pigiste</t>
        </is>
      </c>
      <c r="F174" s="36" t="inlineStr">
        <is>
          <t>joannie@jlafreniere.ca</t>
        </is>
      </c>
      <c r="G174" s="36" t="inlineStr">
        <is>
          <t>514-803-0604</t>
        </is>
      </c>
      <c r="H174" s="36" t="inlineStr">
        <is>
          <t>Montréal</t>
        </is>
      </c>
      <c r="I174" s="37" t="inlineStr">
        <is>
          <t>Art de vivre</t>
        </is>
      </c>
      <c r="J174" s="36" t="n"/>
      <c r="K174" s="42" t="inlineStr">
        <is>
          <t>Ouvrir</t>
        </is>
      </c>
      <c r="L174" s="38" t="n"/>
      <c r="M174" s="38" t="n"/>
      <c r="N174" s="39" t="n"/>
      <c r="O174" s="25" t="inlineStr">
        <is>
          <t>G</t>
        </is>
      </c>
      <c r="P174" s="25" t="inlineStr">
        <is>
          <t>Un manteau isole avec une mauvaise herbe, au premier episode de Dragons' Den</t>
        </is>
      </c>
      <c r="Q174" s="25" t="inlineStr">
        <is>
          <t>Bonjour Joannie,</t>
        </is>
      </c>
      <c r="R174" s="25" t="inlineStr">
        <is>
          <t>Adresse personnelle : individualiser vraiment</t>
        </is>
      </c>
      <c r="S174" s="46" t="inlineStr">
        <is>
          <t>Bonjour Joannie,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75" ht="15" customHeight="1" s="26">
      <c r="A175" s="43" t="inlineStr">
        <is>
          <t>C</t>
        </is>
      </c>
      <c r="B175" s="36" t="inlineStr">
        <is>
          <t>Angie</t>
        </is>
      </c>
      <c r="C175" s="36" t="inlineStr">
        <is>
          <t>Landry</t>
        </is>
      </c>
      <c r="D175" s="37" t="inlineStr">
        <is>
          <t>Journaliste</t>
        </is>
      </c>
      <c r="E175" s="36" t="inlineStr">
        <is>
          <t>L'actualité</t>
        </is>
      </c>
      <c r="F175" s="36" t="inlineStr">
        <is>
          <t>angie.landry@lactualite.com</t>
        </is>
      </c>
      <c r="G175" s="36" t="n"/>
      <c r="H175" s="36" t="inlineStr">
        <is>
          <t>Montréal</t>
        </is>
      </c>
      <c r="I175" s="37" t="inlineStr">
        <is>
          <t>Environnement</t>
        </is>
      </c>
      <c r="J175" s="36" t="n"/>
      <c r="K175" s="42" t="inlineStr">
        <is>
          <t>Ouvrir</t>
        </is>
      </c>
      <c r="L175" s="38" t="n"/>
      <c r="M175" s="38" t="n"/>
      <c r="N175" s="39" t="n"/>
      <c r="O175" s="25" t="inlineStr">
        <is>
          <t>D</t>
        </is>
      </c>
      <c r="P175" s="25" t="inlineStr">
        <is>
          <t>Le monarque, l'asclepiade, et l'idee qu'il faut la rendre payante</t>
        </is>
      </c>
      <c r="Q175" s="25" t="inlineStr">
        <is>
          <t>Bonjour Angie,</t>
        </is>
      </c>
      <c r="S175" s="46" t="inlineStr">
        <is>
          <t>Bonjour Angie,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76" ht="15" customHeight="1" s="26">
      <c r="A176" s="43" t="inlineStr">
        <is>
          <t>C</t>
        </is>
      </c>
      <c r="B176" s="36" t="inlineStr">
        <is>
          <t>Camille</t>
        </is>
      </c>
      <c r="C176" s="36" t="inlineStr">
        <is>
          <t>Langlade</t>
        </is>
      </c>
      <c r="D176" s="37" t="inlineStr">
        <is>
          <t>Journaliste, cheffe de pupitre</t>
        </is>
      </c>
      <c r="E176" s="36" t="inlineStr">
        <is>
          <t>Pigiste</t>
        </is>
      </c>
      <c r="F176" s="36" t="inlineStr">
        <is>
          <t>camille@francopresse.ca</t>
        </is>
      </c>
      <c r="G176" s="36" t="n"/>
      <c r="H176" s="36" t="inlineStr">
        <is>
          <t>Montréal</t>
        </is>
      </c>
      <c r="I176" s="37" t="inlineStr">
        <is>
          <t>Environnement</t>
        </is>
      </c>
      <c r="J176" s="36" t="n"/>
      <c r="K176" s="42" t="inlineStr">
        <is>
          <t>Ouvrir</t>
        </is>
      </c>
      <c r="L176" s="38" t="n"/>
      <c r="M176" s="38" t="n"/>
      <c r="N176" s="39" t="n"/>
      <c r="O176" s="25" t="inlineStr">
        <is>
          <t>D</t>
        </is>
      </c>
      <c r="P176" s="25" t="inlineStr">
        <is>
          <t>Le monarque, l'asclepiade, et l'idee qu'il faut la rendre payante</t>
        </is>
      </c>
      <c r="Q176" s="25" t="inlineStr">
        <is>
          <t>Bonjour Camille,</t>
        </is>
      </c>
      <c r="R176" s="25" t="inlineStr">
        <is>
          <t>Adresse personnelle : individualiser vraiment</t>
        </is>
      </c>
      <c r="S176" s="46" t="inlineStr">
        <is>
          <t>Bonjour Camille,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77" ht="15" customHeight="1" s="26">
      <c r="A177" s="43" t="inlineStr">
        <is>
          <t>C</t>
        </is>
      </c>
      <c r="B177" s="36" t="inlineStr">
        <is>
          <t>Claudia</t>
        </is>
      </c>
      <c r="C177" s="36" t="inlineStr">
        <is>
          <t>Larochelle</t>
        </is>
      </c>
      <c r="D177" s="37" t="inlineStr">
        <is>
          <t>Journaliste - chroniqueuse - animatrice</t>
        </is>
      </c>
      <c r="E177" s="36" t="inlineStr">
        <is>
          <t>Radio-Canada (Montréal)</t>
        </is>
      </c>
      <c r="F177" s="36" t="inlineStr">
        <is>
          <t>clolarochelle@hotmail.com</t>
        </is>
      </c>
      <c r="G177" s="36" t="inlineStr">
        <is>
          <t>514-574-0570</t>
        </is>
      </c>
      <c r="H177" s="36" t="inlineStr">
        <is>
          <t>Montréal</t>
        </is>
      </c>
      <c r="I177" s="37" t="inlineStr">
        <is>
          <t>Art de vivre</t>
        </is>
      </c>
      <c r="J177" s="36" t="n"/>
      <c r="K177" s="42" t="inlineStr">
        <is>
          <t>Ouvrir</t>
        </is>
      </c>
      <c r="L177" s="38" t="n"/>
      <c r="M177" s="38" t="n"/>
      <c r="N177" s="39" t="n"/>
      <c r="O177" s="25" t="inlineStr">
        <is>
          <t>I</t>
        </is>
      </c>
      <c r="P177" s="25" t="inlineStr">
        <is>
          <t>Invite disponible : Lasclay a Dragons' Den le 17 septembre</t>
        </is>
      </c>
      <c r="Q177" s="25" t="inlineStr">
        <is>
          <t>Bonjour Claudia,</t>
        </is>
      </c>
      <c r="R177" s="25" t="inlineStr">
        <is>
          <t>Adresse personnelle : individualiser vraiment</t>
        </is>
      </c>
      <c r="S177" s="46" t="inlineStr">
        <is>
          <t>Bonjour Claudia,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78" ht="15" customHeight="1" s="26">
      <c r="A178" s="43" t="inlineStr">
        <is>
          <t>C</t>
        </is>
      </c>
      <c r="B178" s="36" t="inlineStr">
        <is>
          <t>Étienne</t>
        </is>
      </c>
      <c r="C178" s="36" t="inlineStr">
        <is>
          <t>Leblanc</t>
        </is>
      </c>
      <c r="D178" s="37" t="inlineStr">
        <is>
          <t>Journaliste spécialisé en environnement</t>
        </is>
      </c>
      <c r="E178" s="36" t="inlineStr">
        <is>
          <t>Radio-Canada (Montréal)</t>
        </is>
      </c>
      <c r="F178" s="36" t="inlineStr">
        <is>
          <t>etienne.leblanc@radio-canada.ca</t>
        </is>
      </c>
      <c r="G178" s="36" t="inlineStr">
        <is>
          <t>514 597-4019</t>
        </is>
      </c>
      <c r="H178" s="36" t="inlineStr">
        <is>
          <t>Montréal</t>
        </is>
      </c>
      <c r="I178" s="37" t="inlineStr">
        <is>
          <t>Environnement</t>
        </is>
      </c>
      <c r="J178" s="36" t="n"/>
      <c r="K178" s="42" t="inlineStr">
        <is>
          <t>Ouvrir</t>
        </is>
      </c>
      <c r="L178" s="38" t="n"/>
      <c r="M178" s="38" t="n"/>
      <c r="N178" s="39" t="n"/>
      <c r="O178" s="25" t="inlineStr">
        <is>
          <t>D</t>
        </is>
      </c>
      <c r="P178" s="25" t="inlineStr">
        <is>
          <t>Le monarque, l'asclepiade, et l'idee qu'il faut la rendre payante</t>
        </is>
      </c>
      <c r="Q178" s="25" t="inlineStr">
        <is>
          <t>Bonjour Étienne,</t>
        </is>
      </c>
      <c r="S178" s="46" t="inlineStr">
        <is>
          <t>Bonjour Étienne,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79" ht="15" customHeight="1" s="26">
      <c r="A179" s="43" t="inlineStr">
        <is>
          <t>C</t>
        </is>
      </c>
      <c r="B179" s="36" t="inlineStr">
        <is>
          <t>Louise</t>
        </is>
      </c>
      <c r="C179" s="36" t="inlineStr">
        <is>
          <t>Leduc</t>
        </is>
      </c>
      <c r="D179" s="37" t="inlineStr">
        <is>
          <t>Reporter</t>
        </is>
      </c>
      <c r="E179" s="36" t="inlineStr">
        <is>
          <t>La Presse</t>
        </is>
      </c>
      <c r="F179" s="36" t="inlineStr">
        <is>
          <t>lleduc@lapresse.ca</t>
        </is>
      </c>
      <c r="G179" s="36" t="inlineStr">
        <is>
          <t>514-973-0748</t>
        </is>
      </c>
      <c r="H179" s="36" t="inlineStr">
        <is>
          <t>Montréal</t>
        </is>
      </c>
      <c r="I179" s="37" t="inlineStr">
        <is>
          <t>Art de vivre</t>
        </is>
      </c>
      <c r="J179" s="36" t="n"/>
      <c r="K179" s="42" t="inlineStr">
        <is>
          <t>Ouvrir</t>
        </is>
      </c>
      <c r="L179" s="38" t="n"/>
      <c r="M179" s="38" t="n"/>
      <c r="N179" s="39" t="n"/>
      <c r="O179" s="25" t="inlineStr">
        <is>
          <t>G</t>
        </is>
      </c>
      <c r="P179" s="25" t="inlineStr">
        <is>
          <t>Un manteau isole avec une mauvaise herbe, au premier episode de Dragons' Den</t>
        </is>
      </c>
      <c r="Q179" s="25" t="inlineStr">
        <is>
          <t>Bonjour Louise,</t>
        </is>
      </c>
      <c r="S179" s="46" t="inlineStr">
        <is>
          <t>Bonjour Louise,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80" ht="15" customHeight="1" s="26">
      <c r="A180" s="43" t="inlineStr">
        <is>
          <t>C</t>
        </is>
      </c>
      <c r="B180" s="36" t="inlineStr">
        <is>
          <t>Guillaume</t>
        </is>
      </c>
      <c r="C180" s="36" t="inlineStr">
        <is>
          <t>Longuépée</t>
        </is>
      </c>
      <c r="D180" s="37" t="inlineStr">
        <is>
          <t>Journaliste</t>
        </is>
      </c>
      <c r="E180" s="36" t="inlineStr">
        <is>
          <t>Pigiste</t>
        </is>
      </c>
      <c r="F180" s="36" t="inlineStr">
        <is>
          <t>longuepeeguillaume04@gmail.com</t>
        </is>
      </c>
      <c r="G180" s="36" t="n"/>
      <c r="H180" s="36" t="inlineStr">
        <is>
          <t>Montréal</t>
        </is>
      </c>
      <c r="I180" s="37" t="inlineStr">
        <is>
          <t>Économie</t>
        </is>
      </c>
      <c r="J180" s="36" t="n"/>
      <c r="K180" s="42" t="inlineStr">
        <is>
          <t>Ouvrir</t>
        </is>
      </c>
      <c r="L180" s="38" t="n"/>
      <c r="M180" s="38" t="n"/>
      <c r="N180" s="39" t="n"/>
      <c r="O180" s="25" t="inlineStr">
        <is>
          <t>E</t>
        </is>
      </c>
      <c r="P180" s="25" t="inlineStr">
        <is>
          <t>Une PME qui a rapatrie sa production, puis en a delocalise une partie</t>
        </is>
      </c>
      <c r="Q180" s="25" t="inlineStr">
        <is>
          <t>Bonjour Guillaume,</t>
        </is>
      </c>
      <c r="R180" s="25" t="inlineStr">
        <is>
          <t>Adresse personnelle : individualiser vraiment</t>
        </is>
      </c>
      <c r="S180" s="46" t="inlineStr">
        <is>
          <t>Bonjour Guillaume,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81" ht="15" customHeight="1" s="26">
      <c r="A181" s="43" t="inlineStr">
        <is>
          <t>C</t>
        </is>
      </c>
      <c r="B181" s="36" t="inlineStr">
        <is>
          <t>Roxane</t>
        </is>
      </c>
      <c r="C181" s="36" t="inlineStr">
        <is>
          <t>Léouzon</t>
        </is>
      </c>
      <c r="D181" s="37" t="inlineStr">
        <is>
          <t>Journaliste</t>
        </is>
      </c>
      <c r="E181" s="36" t="inlineStr">
        <is>
          <t>Le Devoir</t>
        </is>
      </c>
      <c r="F181" s="36" t="inlineStr">
        <is>
          <t>rleouzon@ledevoir.com</t>
        </is>
      </c>
      <c r="G181" s="36" t="inlineStr">
        <is>
          <t>514 985-3333</t>
        </is>
      </c>
      <c r="H181" s="36" t="inlineStr">
        <is>
          <t>Montréal</t>
        </is>
      </c>
      <c r="I181" s="37" t="inlineStr">
        <is>
          <t>Économie</t>
        </is>
      </c>
      <c r="J181" s="36" t="n"/>
      <c r="K181" s="42" t="inlineStr">
        <is>
          <t>Ouvrir</t>
        </is>
      </c>
      <c r="L181" s="38" t="n"/>
      <c r="M181" s="38" t="n"/>
      <c r="N181" s="39" t="n"/>
      <c r="O181" s="25" t="inlineStr">
        <is>
          <t>E</t>
        </is>
      </c>
      <c r="P181" s="25" t="inlineStr">
        <is>
          <t>Une PME qui a rapatrie sa production, puis en a delocalise une partie</t>
        </is>
      </c>
      <c r="Q181" s="25" t="inlineStr">
        <is>
          <t>Bonjour Roxane,</t>
        </is>
      </c>
      <c r="S181" s="46" t="inlineStr">
        <is>
          <t>Bonjour Roxane,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82" ht="15" customHeight="1" s="26">
      <c r="A182" s="43" t="inlineStr">
        <is>
          <t>C</t>
        </is>
      </c>
      <c r="B182" s="36" t="inlineStr">
        <is>
          <t>Ève</t>
        </is>
      </c>
      <c r="C182" s="36" t="inlineStr">
        <is>
          <t>Lévesque</t>
        </is>
      </c>
      <c r="D182" s="37" t="inlineStr">
        <is>
          <t>Recherchiste indépendante, journaliste et productrice</t>
        </is>
      </c>
      <c r="E182" s="36" t="inlineStr">
        <is>
          <t>Pigiste</t>
        </is>
      </c>
      <c r="F182" s="36" t="inlineStr">
        <is>
          <t>levesque.eve@outlook.com</t>
        </is>
      </c>
      <c r="G182" s="36" t="n"/>
      <c r="H182" s="36" t="inlineStr">
        <is>
          <t>Montréal</t>
        </is>
      </c>
      <c r="I182" s="37" t="inlineStr">
        <is>
          <t>Consommation</t>
        </is>
      </c>
      <c r="J182" s="36" t="n"/>
      <c r="K182" s="42" t="inlineStr">
        <is>
          <t>Ouvrir</t>
        </is>
      </c>
      <c r="L182" s="38" t="n"/>
      <c r="M182" s="38" t="n"/>
      <c r="N182" s="39" t="n"/>
      <c r="O182" s="25" t="inlineStr">
        <is>
          <t>I</t>
        </is>
      </c>
      <c r="P182" s="25" t="inlineStr">
        <is>
          <t>Invite disponible : Lasclay a Dragons' Den le 17 septembre</t>
        </is>
      </c>
      <c r="Q182" s="25" t="inlineStr">
        <is>
          <t>Bonjour Ève,</t>
        </is>
      </c>
      <c r="R182" s="25" t="inlineStr">
        <is>
          <t>Adresse personnelle : individualiser vraiment</t>
        </is>
      </c>
      <c r="S182" s="46" t="inlineStr">
        <is>
          <t>Bonjour Ève,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83" ht="15" customHeight="1" s="26">
      <c r="A183" s="43" t="inlineStr">
        <is>
          <t>C</t>
        </is>
      </c>
      <c r="B183" s="36" t="inlineStr">
        <is>
          <t>Sophie</t>
        </is>
      </c>
      <c r="C183" s="36" t="inlineStr">
        <is>
          <t>Mangado</t>
        </is>
      </c>
      <c r="D183" s="37" t="inlineStr">
        <is>
          <t>Journaliste, recherchiste</t>
        </is>
      </c>
      <c r="E183" s="36" t="inlineStr">
        <is>
          <t>Pigiste</t>
        </is>
      </c>
      <c r="F183" s="36" t="inlineStr">
        <is>
          <t>sophie.mangado@gmail.com</t>
        </is>
      </c>
      <c r="G183" s="36" t="n"/>
      <c r="H183" s="36" t="inlineStr">
        <is>
          <t>Montréal</t>
        </is>
      </c>
      <c r="I183" s="37" t="inlineStr">
        <is>
          <t>Sciences</t>
        </is>
      </c>
      <c r="J183" s="36" t="n"/>
      <c r="K183" s="42" t="inlineStr">
        <is>
          <t>Ouvrir</t>
        </is>
      </c>
      <c r="L183" s="38" t="n"/>
      <c r="M183" s="38" t="n"/>
      <c r="N183" s="39" t="n"/>
      <c r="O183" s="25" t="inlineStr">
        <is>
          <t>I</t>
        </is>
      </c>
      <c r="P183" s="25" t="inlineStr">
        <is>
          <t>Invite disponible : Lasclay a Dragons' Den le 17 septembre</t>
        </is>
      </c>
      <c r="Q183" s="25" t="inlineStr">
        <is>
          <t>Bonjour Sophie,</t>
        </is>
      </c>
      <c r="R183" s="25" t="inlineStr">
        <is>
          <t>Adresse personnelle : individualiser vraiment</t>
        </is>
      </c>
      <c r="S183" s="46" t="inlineStr">
        <is>
          <t>Bonjour Sophie,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84" ht="15" customHeight="1" s="26">
      <c r="A184" s="43" t="inlineStr">
        <is>
          <t>C</t>
        </is>
      </c>
      <c r="B184" s="36" t="inlineStr">
        <is>
          <t>Colin</t>
        </is>
      </c>
      <c r="C184" s="36" t="inlineStr">
        <is>
          <t>McGregor</t>
        </is>
      </c>
      <c r="D184" s="37" t="inlineStr">
        <is>
          <t>journaliste et traducteur</t>
        </is>
      </c>
      <c r="E184" s="36" t="inlineStr">
        <is>
          <t>Pigiste</t>
        </is>
      </c>
      <c r="F184" s="36" t="inlineStr">
        <is>
          <t>colin.mcgregor@tse2015.ca</t>
        </is>
      </c>
      <c r="G184" s="36" t="inlineStr">
        <is>
          <t>514-256-9000</t>
        </is>
      </c>
      <c r="H184" s="36" t="inlineStr">
        <is>
          <t>Montréal</t>
        </is>
      </c>
      <c r="I184" s="37" t="inlineStr">
        <is>
          <t>Environnement</t>
        </is>
      </c>
      <c r="J184" s="36" t="n"/>
      <c r="K184" s="42" t="inlineStr">
        <is>
          <t>Ouvrir</t>
        </is>
      </c>
      <c r="L184" s="38" t="n"/>
      <c r="M184" s="38" t="n"/>
      <c r="N184" s="39" t="n"/>
      <c r="O184" s="25" t="inlineStr">
        <is>
          <t>D</t>
        </is>
      </c>
      <c r="P184" s="25" t="inlineStr">
        <is>
          <t>Le monarque, l'asclepiade, et l'idee qu'il faut la rendre payante</t>
        </is>
      </c>
      <c r="Q184" s="25" t="inlineStr">
        <is>
          <t>Bonjour Colin,</t>
        </is>
      </c>
      <c r="R184" s="25" t="inlineStr">
        <is>
          <t>Adresse personnelle : individualiser vraiment</t>
        </is>
      </c>
      <c r="S184" s="46" t="inlineStr">
        <is>
          <t>Bonjour Colin,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85" ht="15" customHeight="1" s="26">
      <c r="A185" s="43" t="inlineStr">
        <is>
          <t>C</t>
        </is>
      </c>
      <c r="B185" s="36" t="inlineStr">
        <is>
          <t>Isabelle</t>
        </is>
      </c>
      <c r="C185" s="36" t="inlineStr">
        <is>
          <t>Morin</t>
        </is>
      </c>
      <c r="D185" s="37" t="inlineStr">
        <is>
          <t>Reporter</t>
        </is>
      </c>
      <c r="E185" s="36" t="inlineStr">
        <is>
          <t>La Presse</t>
        </is>
      </c>
      <c r="F185" s="36" t="inlineStr">
        <is>
          <t>imorin@lapresse.ca</t>
        </is>
      </c>
      <c r="G185" s="36" t="inlineStr">
        <is>
          <t>514 285-7000, #7145</t>
        </is>
      </c>
      <c r="H185" s="36" t="inlineStr">
        <is>
          <t>Montréal</t>
        </is>
      </c>
      <c r="I185" s="37" t="inlineStr">
        <is>
          <t>Art de vivre</t>
        </is>
      </c>
      <c r="J185" s="36" t="n"/>
      <c r="K185" s="42" t="inlineStr">
        <is>
          <t>Ouvrir</t>
        </is>
      </c>
      <c r="L185" s="38" t="n"/>
      <c r="M185" s="38" t="n"/>
      <c r="N185" s="39" t="n"/>
      <c r="O185" s="25" t="inlineStr">
        <is>
          <t>G</t>
        </is>
      </c>
      <c r="P185" s="25" t="inlineStr">
        <is>
          <t>Un manteau isole avec une mauvaise herbe, au premier episode de Dragons' Den</t>
        </is>
      </c>
      <c r="Q185" s="25" t="inlineStr">
        <is>
          <t>Bonjour Isabelle,</t>
        </is>
      </c>
      <c r="S185" s="46" t="inlineStr">
        <is>
          <t>Bonjour Isabelle,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86" ht="15" customHeight="1" s="26">
      <c r="A186" s="43" t="inlineStr">
        <is>
          <t>C</t>
        </is>
      </c>
      <c r="B186" s="36" t="inlineStr">
        <is>
          <t>Timothy</t>
        </is>
      </c>
      <c r="C186" s="36" t="inlineStr">
        <is>
          <t>Morson</t>
        </is>
      </c>
      <c r="D186" s="37" t="inlineStr">
        <is>
          <t>Journaliste</t>
        </is>
      </c>
      <c r="E186" s="36" t="inlineStr">
        <is>
          <t>Pigiste</t>
        </is>
      </c>
      <c r="F186" s="36" t="inlineStr">
        <is>
          <t>tim.morson@videotron.ca</t>
        </is>
      </c>
      <c r="G186" s="36" t="inlineStr">
        <is>
          <t>5148278174</t>
        </is>
      </c>
      <c r="H186" s="36" t="inlineStr">
        <is>
          <t>Centre-du-Québec</t>
        </is>
      </c>
      <c r="I186" s="37" t="inlineStr">
        <is>
          <t>Économie</t>
        </is>
      </c>
      <c r="J186" s="36" t="n"/>
      <c r="K186" s="42" t="inlineStr">
        <is>
          <t>Ouvrir</t>
        </is>
      </c>
      <c r="L186" s="38" t="n"/>
      <c r="M186" s="38" t="n"/>
      <c r="N186" s="39" t="n"/>
      <c r="O186" s="25" t="inlineStr">
        <is>
          <t>E</t>
        </is>
      </c>
      <c r="P186" s="25" t="inlineStr">
        <is>
          <t>Une PME qui a rapatrie sa production, puis en a delocalise une partie</t>
        </is>
      </c>
      <c r="Q186" s="25" t="inlineStr">
        <is>
          <t>Bonjour Timothy,</t>
        </is>
      </c>
      <c r="R186" s="25" t="inlineStr">
        <is>
          <t>Adresse personnelle : individualiser vraiment</t>
        </is>
      </c>
      <c r="S186" s="46" t="inlineStr">
        <is>
          <t>Bonjour Timothy,
L'asclépiade se cultive dans votre région depuis la première vague de 2013, et plusieurs producteurs qui ont survécu à l'effondrement de la filière y sont encore.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187" ht="15" customHeight="1" s="26">
      <c r="A187" s="43" t="inlineStr">
        <is>
          <t>C</t>
        </is>
      </c>
      <c r="B187" s="36" t="inlineStr">
        <is>
          <t>Rachid</t>
        </is>
      </c>
      <c r="C187" s="36" t="inlineStr">
        <is>
          <t>Najahi</t>
        </is>
      </c>
      <c r="D187" s="37" t="inlineStr">
        <is>
          <t>Journaliste</t>
        </is>
      </c>
      <c r="E187" s="36" t="inlineStr">
        <is>
          <t>Groupe Atlas Média</t>
        </is>
      </c>
      <c r="F187" s="36" t="inlineStr">
        <is>
          <t>rachid.najahi@gmail.com</t>
        </is>
      </c>
      <c r="G187" s="36" t="inlineStr">
        <is>
          <t>5149628527</t>
        </is>
      </c>
      <c r="H187" s="36" t="inlineStr">
        <is>
          <t>Montréal</t>
        </is>
      </c>
      <c r="I187" s="37" t="inlineStr">
        <is>
          <t>Consommation</t>
        </is>
      </c>
      <c r="J187" s="36" t="n"/>
      <c r="K187" s="42" t="inlineStr">
        <is>
          <t>Ouvrir</t>
        </is>
      </c>
      <c r="L187" s="38" t="n"/>
      <c r="M187" s="38" t="n"/>
      <c r="N187" s="39" t="n"/>
      <c r="O187" s="25" t="inlineStr">
        <is>
          <t>G</t>
        </is>
      </c>
      <c r="P187" s="25" t="inlineStr">
        <is>
          <t>Un manteau isole avec une mauvaise herbe, au premier episode de Dragons' Den</t>
        </is>
      </c>
      <c r="Q187" s="25" t="inlineStr">
        <is>
          <t>Bonjour Rachid,</t>
        </is>
      </c>
      <c r="R187" s="25" t="inlineStr">
        <is>
          <t>Adresse personnelle : individualiser vraiment</t>
        </is>
      </c>
      <c r="S187" s="46" t="inlineStr">
        <is>
          <t>Bonjour Rachid,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88" ht="15" customHeight="1" s="26">
      <c r="A188" s="43" t="inlineStr">
        <is>
          <t>C</t>
        </is>
      </c>
      <c r="B188" s="36" t="inlineStr">
        <is>
          <t>Richard</t>
        </is>
      </c>
      <c r="C188" s="36" t="inlineStr">
        <is>
          <t>Olivier</t>
        </is>
      </c>
      <c r="D188" s="37" t="inlineStr">
        <is>
          <t>Journaliste</t>
        </is>
      </c>
      <c r="E188" s="36" t="inlineStr">
        <is>
          <t>TVA Nouvelles</t>
        </is>
      </c>
      <c r="F188" s="36" t="inlineStr">
        <is>
          <t>richard.olivier@outlook.com</t>
        </is>
      </c>
      <c r="G188" s="36" t="n"/>
      <c r="H188" s="36" t="inlineStr">
        <is>
          <t>Montréal</t>
        </is>
      </c>
      <c r="I188" s="37" t="inlineStr">
        <is>
          <t>Consommation</t>
        </is>
      </c>
      <c r="J188" s="36" t="n"/>
      <c r="K188" s="42" t="inlineStr">
        <is>
          <t>Ouvrir</t>
        </is>
      </c>
      <c r="L188" s="38" t="n"/>
      <c r="M188" s="38" t="n"/>
      <c r="N188" s="39" t="n"/>
      <c r="O188" s="25" t="inlineStr">
        <is>
          <t>I</t>
        </is>
      </c>
      <c r="P188" s="25" t="inlineStr">
        <is>
          <t>Invite disponible : Lasclay a Dragons' Den le 17 septembre</t>
        </is>
      </c>
      <c r="Q188" s="25" t="inlineStr">
        <is>
          <t>Bonjour Richard,</t>
        </is>
      </c>
      <c r="R188" s="25" t="inlineStr">
        <is>
          <t>Adresse personnelle : individualiser vraiment</t>
        </is>
      </c>
      <c r="S188" s="46" t="inlineStr">
        <is>
          <t>Bonjour Richard,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89" ht="15" customHeight="1" s="26">
      <c r="A189" s="43" t="inlineStr">
        <is>
          <t>C</t>
        </is>
      </c>
      <c r="B189" s="36" t="inlineStr">
        <is>
          <t>MELISSA</t>
        </is>
      </c>
      <c r="C189" s="36" t="inlineStr">
        <is>
          <t>PELLETIER</t>
        </is>
      </c>
      <c r="D189" s="37" t="inlineStr">
        <is>
          <t>Journaliste à la recherche</t>
        </is>
      </c>
      <c r="E189" s="36" t="inlineStr">
        <is>
          <t>Radio-Canada</t>
        </is>
      </c>
      <c r="F189" s="36" t="inlineStr">
        <is>
          <t>melissa.pelletier@radio-canada.ca</t>
        </is>
      </c>
      <c r="G189" s="36" t="inlineStr">
        <is>
          <t>5145976980</t>
        </is>
      </c>
      <c r="H189" s="36" t="inlineStr">
        <is>
          <t>Montérégie</t>
        </is>
      </c>
      <c r="I189" s="37" t="inlineStr">
        <is>
          <t>Consommation</t>
        </is>
      </c>
      <c r="J189" s="36" t="n"/>
      <c r="K189" s="42" t="inlineStr">
        <is>
          <t>Ouvrir</t>
        </is>
      </c>
      <c r="L189" s="38" t="n"/>
      <c r="M189" s="38" t="n"/>
      <c r="N189" s="39" t="n"/>
      <c r="O189" s="25" t="inlineStr">
        <is>
          <t>B</t>
        </is>
      </c>
      <c r="P189" s="25" t="inlineStr">
        <is>
          <t>Montérégie : Lasclay au premier episode de la 21e saison de Dragons' Den</t>
        </is>
      </c>
      <c r="Q189" s="25" t="inlineStr">
        <is>
          <t>Bonjour MELISSA,</t>
        </is>
      </c>
      <c r="S189" s="46" t="inlineStr">
        <is>
          <t>Bonjour MELISSA,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90" ht="15" customHeight="1" s="26">
      <c r="A190" s="43" t="inlineStr">
        <is>
          <t>C</t>
        </is>
      </c>
      <c r="B190" s="36" t="inlineStr">
        <is>
          <t>Isaac</t>
        </is>
      </c>
      <c r="C190" s="36" t="inlineStr">
        <is>
          <t>Peltz</t>
        </is>
      </c>
      <c r="D190" s="37" t="inlineStr">
        <is>
          <t>Journaliste, Photographe de presse</t>
        </is>
      </c>
      <c r="E190" s="36" t="inlineStr">
        <is>
          <t>Pivot</t>
        </is>
      </c>
      <c r="F190" s="36" t="inlineStr">
        <is>
          <t>isaacapeltz@protonmail.com</t>
        </is>
      </c>
      <c r="G190" s="36" t="inlineStr">
        <is>
          <t>6043395583</t>
        </is>
      </c>
      <c r="H190" s="36" t="inlineStr">
        <is>
          <t>Centre-du-Québec</t>
        </is>
      </c>
      <c r="I190" s="37" t="inlineStr">
        <is>
          <t>Économie</t>
        </is>
      </c>
      <c r="J190" s="36" t="n"/>
      <c r="K190" s="42" t="inlineStr">
        <is>
          <t>Ouvrir</t>
        </is>
      </c>
      <c r="L190" s="38" t="n"/>
      <c r="M190" s="38" t="n"/>
      <c r="N190" s="39" t="n"/>
      <c r="O190" s="25" t="inlineStr">
        <is>
          <t>B</t>
        </is>
      </c>
      <c r="P190" s="25" t="inlineStr">
        <is>
          <t>Centre-du-Québec : Lasclay au premier episode de la 21e saison de Dragons' Den</t>
        </is>
      </c>
      <c r="Q190" s="25" t="inlineStr">
        <is>
          <t>Bonjour Isaac,</t>
        </is>
      </c>
      <c r="S190" s="46" t="inlineStr">
        <is>
          <t>Bonjour Isaac,
L'asclépiade se cultive dans votre région depuis la première vague de 2013, et plusieurs producteurs qui ont survécu à l'effondrement de la filière y sont encore.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91" ht="15" customHeight="1" s="26">
      <c r="A191" s="43" t="inlineStr">
        <is>
          <t>C</t>
        </is>
      </c>
      <c r="B191" s="36" t="inlineStr">
        <is>
          <t>Frédéric</t>
        </is>
      </c>
      <c r="C191" s="36" t="inlineStr">
        <is>
          <t>Perron</t>
        </is>
      </c>
      <c r="D191" s="37" t="inlineStr">
        <is>
          <t>Rédacteur en chef</t>
        </is>
      </c>
      <c r="E191" s="36" t="inlineStr">
        <is>
          <t>Protégez-Vous</t>
        </is>
      </c>
      <c r="F191" s="36" t="inlineStr">
        <is>
          <t>fperron@protegez-vous.ca</t>
        </is>
      </c>
      <c r="G191" s="36" t="inlineStr">
        <is>
          <t>514 461-3000 #121</t>
        </is>
      </c>
      <c r="H191" s="36" t="inlineStr">
        <is>
          <t>Montréal</t>
        </is>
      </c>
      <c r="I191" s="37" t="inlineStr">
        <is>
          <t>Consommation</t>
        </is>
      </c>
      <c r="J191" s="36" t="n"/>
      <c r="K191" s="42" t="inlineStr">
        <is>
          <t>Ouvrir</t>
        </is>
      </c>
      <c r="L191" s="38" t="n"/>
      <c r="M191" s="38" t="n"/>
      <c r="N191" s="39" t="n"/>
      <c r="O191" s="25" t="inlineStr">
        <is>
          <t>G</t>
        </is>
      </c>
      <c r="P191" s="25" t="inlineStr">
        <is>
          <t>Un manteau isole avec une mauvaise herbe, au premier episode de Dragons' Den</t>
        </is>
      </c>
      <c r="Q191" s="25" t="inlineStr">
        <is>
          <t>Bonjour Frédéric,</t>
        </is>
      </c>
      <c r="S191" s="46" t="inlineStr">
        <is>
          <t>Bonjour Frédéric,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92" ht="15" customHeight="1" s="26">
      <c r="A192" s="43" t="inlineStr">
        <is>
          <t>C</t>
        </is>
      </c>
      <c r="B192" s="36" t="inlineStr">
        <is>
          <t>Nathalie</t>
        </is>
      </c>
      <c r="C192" s="36" t="inlineStr">
        <is>
          <t>Petrowski</t>
        </is>
      </c>
      <c r="D192" s="37" t="inlineStr">
        <is>
          <t>Chroniqueuse - commentatrice</t>
        </is>
      </c>
      <c r="E192" s="36" t="inlineStr">
        <is>
          <t>Radio-Canada (Radio - Montréal)</t>
        </is>
      </c>
      <c r="F192" s="36" t="inlineStr">
        <is>
          <t>lacombem3@videotron.ca</t>
        </is>
      </c>
      <c r="G192" s="36" t="inlineStr">
        <is>
          <t>5148133110</t>
        </is>
      </c>
      <c r="H192" s="36" t="inlineStr">
        <is>
          <t>Montréal</t>
        </is>
      </c>
      <c r="I192" s="37" t="inlineStr">
        <is>
          <t>Art de vivre</t>
        </is>
      </c>
      <c r="J192" s="36" t="n"/>
      <c r="K192" s="42" t="inlineStr">
        <is>
          <t>Ouvrir</t>
        </is>
      </c>
      <c r="L192" s="38" t="n"/>
      <c r="M192" s="38" t="n"/>
      <c r="N192" s="39" t="n"/>
      <c r="O192" s="25" t="inlineStr">
        <is>
          <t>I</t>
        </is>
      </c>
      <c r="P192" s="25" t="inlineStr">
        <is>
          <t>Invite disponible : Lasclay a Dragons' Den le 17 septembre</t>
        </is>
      </c>
      <c r="Q192" s="25" t="inlineStr">
        <is>
          <t>Bonjour Nathalie,</t>
        </is>
      </c>
      <c r="R192" s="25" t="inlineStr">
        <is>
          <t>Adresse personnelle : individualiser vraiment</t>
        </is>
      </c>
      <c r="S192" s="46" t="inlineStr">
        <is>
          <t>Bonjour Nathalie,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93" ht="15" customHeight="1" s="26">
      <c r="A193" s="43" t="inlineStr">
        <is>
          <t>C</t>
        </is>
      </c>
      <c r="B193" s="36" t="inlineStr">
        <is>
          <t>Francis</t>
        </is>
      </c>
      <c r="C193" s="36" t="inlineStr">
        <is>
          <t>Plourde</t>
        </is>
      </c>
      <c r="D193" s="37" t="inlineStr">
        <is>
          <t>Journaliste</t>
        </is>
      </c>
      <c r="E193" s="36" t="inlineStr">
        <is>
          <t>Radio-Canada</t>
        </is>
      </c>
      <c r="F193" s="36" t="inlineStr">
        <is>
          <t>francis.plourde@radio-canada.ca</t>
        </is>
      </c>
      <c r="G193" s="36" t="inlineStr">
        <is>
          <t>236-330-4894</t>
        </is>
      </c>
      <c r="H193" s="36" t="inlineStr">
        <is>
          <t>Canada anglais</t>
        </is>
      </c>
      <c r="I193" s="37" t="inlineStr">
        <is>
          <t>Environnement</t>
        </is>
      </c>
      <c r="J193" s="36" t="n"/>
      <c r="K193" s="42" t="inlineStr">
        <is>
          <t>Ouvrir</t>
        </is>
      </c>
      <c r="L193" s="38" t="n"/>
      <c r="M193" s="38" t="n"/>
      <c r="N193" s="39" t="n"/>
      <c r="O193" s="25" t="inlineStr">
        <is>
          <t>B</t>
        </is>
      </c>
      <c r="P193" s="25" t="inlineStr">
        <is>
          <t>Canada anglais : Lasclay au premier episode de la 21e saison de Dragons' Den</t>
        </is>
      </c>
      <c r="Q193" s="25" t="inlineStr">
        <is>
          <t>Bonjour Francis,</t>
        </is>
      </c>
      <c r="S193" s="46" t="inlineStr">
        <is>
          <t>Bonjour Francis,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194" ht="15" customHeight="1" s="26">
      <c r="A194" s="43" t="inlineStr">
        <is>
          <t>C</t>
        </is>
      </c>
      <c r="B194" s="36" t="inlineStr">
        <is>
          <t>Raymonde</t>
        </is>
      </c>
      <c r="C194" s="36" t="inlineStr">
        <is>
          <t>Provencher</t>
        </is>
      </c>
      <c r="D194" s="37" t="inlineStr">
        <is>
          <t>Réalisatrice - productrice - recherchiste - scénariste</t>
        </is>
      </c>
      <c r="E194" s="36" t="inlineStr">
        <is>
          <t>Pigiste</t>
        </is>
      </c>
      <c r="F194" s="36" t="inlineStr">
        <is>
          <t>raymondep@macumbainternational.com</t>
        </is>
      </c>
      <c r="G194" s="36" t="inlineStr">
        <is>
          <t>438 889 9212</t>
        </is>
      </c>
      <c r="H194" s="36" t="inlineStr">
        <is>
          <t>Montréal</t>
        </is>
      </c>
      <c r="I194" s="37" t="inlineStr">
        <is>
          <t>Environnement</t>
        </is>
      </c>
      <c r="J194" s="36" t="n"/>
      <c r="K194" s="42" t="inlineStr">
        <is>
          <t>Ouvrir</t>
        </is>
      </c>
      <c r="L194" s="38" t="n"/>
      <c r="M194" s="38" t="n"/>
      <c r="N194" s="39" t="n"/>
      <c r="O194" s="25" t="inlineStr">
        <is>
          <t>I</t>
        </is>
      </c>
      <c r="P194" s="25" t="inlineStr">
        <is>
          <t>Invite disponible : Lasclay a Dragons' Den le 17 septembre</t>
        </is>
      </c>
      <c r="Q194" s="25" t="inlineStr">
        <is>
          <t>Bonjour Raymonde,</t>
        </is>
      </c>
      <c r="R194" s="25" t="inlineStr">
        <is>
          <t>Adresse personnelle : individualiser vraiment</t>
        </is>
      </c>
      <c r="S194" s="46" t="inlineStr">
        <is>
          <t>Bonjour Raymonde,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195" ht="15" customHeight="1" s="26">
      <c r="A195" s="43" t="inlineStr">
        <is>
          <t>C</t>
        </is>
      </c>
      <c r="B195" s="36" t="inlineStr">
        <is>
          <t>Richard</t>
        </is>
      </c>
      <c r="C195" s="36" t="inlineStr">
        <is>
          <t>Prudhomme</t>
        </is>
      </c>
      <c r="D195" s="37" t="inlineStr">
        <is>
          <t>photographe de presse</t>
        </is>
      </c>
      <c r="E195" s="36" t="inlineStr">
        <is>
          <t>Pigiste</t>
        </is>
      </c>
      <c r="F195" s="36" t="inlineStr">
        <is>
          <t>rawdonphotos@hotmail.com</t>
        </is>
      </c>
      <c r="G195" s="36" t="inlineStr">
        <is>
          <t>450-755-8037</t>
        </is>
      </c>
      <c r="H195" s="36" t="inlineStr">
        <is>
          <t>Lanaudière</t>
        </is>
      </c>
      <c r="I195" s="37" t="inlineStr">
        <is>
          <t>Environnement; Mode et beauté</t>
        </is>
      </c>
      <c r="J195" s="36" t="n"/>
      <c r="K195" s="42" t="inlineStr">
        <is>
          <t>Ouvrir</t>
        </is>
      </c>
      <c r="L195" s="38" t="n"/>
      <c r="M195" s="38" t="n"/>
      <c r="N195" s="39" t="n"/>
      <c r="O195" s="25" t="inlineStr">
        <is>
          <t>G</t>
        </is>
      </c>
      <c r="P195" s="25" t="inlineStr">
        <is>
          <t>Un manteau isole avec une mauvaise herbe, au premier episode de Dragons' Den</t>
        </is>
      </c>
      <c r="Q195" s="25" t="inlineStr">
        <is>
          <t>Bonjour Richard,</t>
        </is>
      </c>
      <c r="R195" s="25" t="inlineStr">
        <is>
          <t>Adresse personnelle : individualiser vraiment</t>
        </is>
      </c>
      <c r="S195" s="46" t="inlineStr">
        <is>
          <t>Bonjour Richard,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96" ht="15" customHeight="1" s="26">
      <c r="A196" s="43" t="inlineStr">
        <is>
          <t>C</t>
        </is>
      </c>
      <c r="B196" s="36" t="inlineStr">
        <is>
          <t>Pascale</t>
        </is>
      </c>
      <c r="C196" s="36" t="inlineStr">
        <is>
          <t>Renaud</t>
        </is>
      </c>
      <c r="D196" s="37" t="inlineStr">
        <is>
          <t>Freelance en journalisme</t>
        </is>
      </c>
      <c r="E196" s="36" t="inlineStr">
        <is>
          <t>Pigiste</t>
        </is>
      </c>
      <c r="F196" s="36" t="inlineStr">
        <is>
          <t>pascalerenaud29@hotmail.com</t>
        </is>
      </c>
      <c r="G196" s="36" t="inlineStr">
        <is>
          <t>5145665617</t>
        </is>
      </c>
      <c r="H196" s="36" t="inlineStr">
        <is>
          <t>Montréal</t>
        </is>
      </c>
      <c r="I196" s="37" t="inlineStr">
        <is>
          <t>Consommation</t>
        </is>
      </c>
      <c r="J196" s="36" t="n"/>
      <c r="K196" s="42" t="inlineStr">
        <is>
          <t>Ouvrir</t>
        </is>
      </c>
      <c r="L196" s="38" t="n"/>
      <c r="M196" s="38" t="n"/>
      <c r="N196" s="39" t="n"/>
      <c r="O196" s="25" t="inlineStr">
        <is>
          <t>G</t>
        </is>
      </c>
      <c r="P196" s="25" t="inlineStr">
        <is>
          <t>Un manteau isole avec une mauvaise herbe, au premier episode de Dragons' Den</t>
        </is>
      </c>
      <c r="Q196" s="25" t="inlineStr">
        <is>
          <t>Bonjour Pascale,</t>
        </is>
      </c>
      <c r="R196" s="25" t="inlineStr">
        <is>
          <t>Adresse personnelle : individualiser vraiment</t>
        </is>
      </c>
      <c r="S196" s="46" t="inlineStr">
        <is>
          <t>Bonjour Pascale,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97" ht="15" customHeight="1" s="26">
      <c r="A197" s="43" t="inlineStr">
        <is>
          <t>C</t>
        </is>
      </c>
      <c r="B197" s="36" t="inlineStr">
        <is>
          <t>Marc Sony</t>
        </is>
      </c>
      <c r="C197" s="36" t="inlineStr">
        <is>
          <t>Ricot</t>
        </is>
      </c>
      <c r="D197" s="37" t="inlineStr">
        <is>
          <t>Chroniqueur</t>
        </is>
      </c>
      <c r="E197" s="36" t="inlineStr">
        <is>
          <t>La Presse</t>
        </is>
      </c>
      <c r="F197" s="36" t="inlineStr">
        <is>
          <t>mricot@collaborateur.lapresse.ca</t>
        </is>
      </c>
      <c r="G197" s="36" t="inlineStr">
        <is>
          <t>4385359125</t>
        </is>
      </c>
      <c r="H197" s="36" t="inlineStr">
        <is>
          <t>Montréal</t>
        </is>
      </c>
      <c r="I197" s="37" t="inlineStr">
        <is>
          <t>Art de vivre</t>
        </is>
      </c>
      <c r="J197" s="36" t="n"/>
      <c r="K197" s="42" t="inlineStr">
        <is>
          <t>Ouvrir</t>
        </is>
      </c>
      <c r="L197" s="38" t="n"/>
      <c r="M197" s="38" t="n"/>
      <c r="N197" s="39" t="n"/>
      <c r="O197" s="25" t="inlineStr">
        <is>
          <t>G</t>
        </is>
      </c>
      <c r="P197" s="25" t="inlineStr">
        <is>
          <t>Un manteau isole avec une mauvaise herbe, au premier episode de Dragons' Den</t>
        </is>
      </c>
      <c r="Q197" s="25" t="inlineStr">
        <is>
          <t>Bonjour Marc Sony,</t>
        </is>
      </c>
      <c r="S197" s="46" t="inlineStr">
        <is>
          <t>Bonjour Marc Sony,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198" ht="23.85" customHeight="1" s="26">
      <c r="A198" s="43" t="inlineStr">
        <is>
          <t>C</t>
        </is>
      </c>
      <c r="B198" s="36" t="inlineStr">
        <is>
          <t>Marie-Paul</t>
        </is>
      </c>
      <c r="C198" s="36" t="inlineStr">
        <is>
          <t>Rouleau</t>
        </is>
      </c>
      <c r="D198" s="37" t="inlineStr">
        <is>
          <t>Journaliste pigiste - Professeur-formatrice - Réalisatrice de balado</t>
        </is>
      </c>
      <c r="E198" s="36" t="inlineStr">
        <is>
          <t>Pigiste</t>
        </is>
      </c>
      <c r="F198" s="36" t="inlineStr">
        <is>
          <t>mprouleau100@gmail.com</t>
        </is>
      </c>
      <c r="G198" s="36" t="inlineStr">
        <is>
          <t>514 647 8425</t>
        </is>
      </c>
      <c r="H198" s="36" t="inlineStr">
        <is>
          <t>Montréal</t>
        </is>
      </c>
      <c r="I198" s="37" t="inlineStr">
        <is>
          <t>Environnement</t>
        </is>
      </c>
      <c r="J198" s="36" t="n"/>
      <c r="K198" s="42" t="inlineStr">
        <is>
          <t>Ouvrir</t>
        </is>
      </c>
      <c r="L198" s="38" t="n"/>
      <c r="M198" s="38" t="n"/>
      <c r="N198" s="39" t="n"/>
      <c r="O198" s="25" t="inlineStr">
        <is>
          <t>D</t>
        </is>
      </c>
      <c r="P198" s="25" t="inlineStr">
        <is>
          <t>Le monarque, l'asclepiade, et l'idee qu'il faut la rendre payante</t>
        </is>
      </c>
      <c r="Q198" s="25" t="inlineStr">
        <is>
          <t>Bonjour Marie-Paul,</t>
        </is>
      </c>
      <c r="R198" s="25" t="inlineStr">
        <is>
          <t>Adresse personnelle : individualiser vraiment</t>
        </is>
      </c>
      <c r="S198" s="46" t="inlineStr">
        <is>
          <t>Bonjour Marie-Paul,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199" ht="15" customHeight="1" s="26">
      <c r="A199" s="43" t="inlineStr">
        <is>
          <t>C</t>
        </is>
      </c>
      <c r="B199" s="36" t="inlineStr">
        <is>
          <t>Emmalie</t>
        </is>
      </c>
      <c r="C199" s="36" t="inlineStr">
        <is>
          <t>Ruest</t>
        </is>
      </c>
      <c r="D199" s="37" t="inlineStr">
        <is>
          <t>journaliste</t>
        </is>
      </c>
      <c r="E199" s="36" t="inlineStr">
        <is>
          <t>Radio-Canada (RDI)</t>
        </is>
      </c>
      <c r="F199" s="36" t="inlineStr">
        <is>
          <t>emmalie.ruest@radio-canada.ca</t>
        </is>
      </c>
      <c r="G199" s="36" t="n"/>
      <c r="H199" s="36" t="inlineStr">
        <is>
          <t>Montréal</t>
        </is>
      </c>
      <c r="I199" s="37" t="inlineStr">
        <is>
          <t>Environnement</t>
        </is>
      </c>
      <c r="J199" s="36" t="n"/>
      <c r="K199" s="42" t="inlineStr">
        <is>
          <t>Ouvrir</t>
        </is>
      </c>
      <c r="L199" s="38" t="n"/>
      <c r="M199" s="38" t="n"/>
      <c r="N199" s="39" t="n"/>
      <c r="O199" s="25" t="inlineStr">
        <is>
          <t>I</t>
        </is>
      </c>
      <c r="P199" s="25" t="inlineStr">
        <is>
          <t>Invite disponible : Lasclay a Dragons' Den le 17 septembre</t>
        </is>
      </c>
      <c r="Q199" s="25" t="inlineStr">
        <is>
          <t>Bonjour Emmalie,</t>
        </is>
      </c>
      <c r="S199" s="46" t="inlineStr">
        <is>
          <t>Bonjour Emmalie,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00" ht="15" customHeight="1" s="26">
      <c r="A200" s="43" t="inlineStr">
        <is>
          <t>C</t>
        </is>
      </c>
      <c r="B200" s="36" t="inlineStr">
        <is>
          <t>Louis-Philippe</t>
        </is>
      </c>
      <c r="C200" s="36" t="inlineStr">
        <is>
          <t>Samson</t>
        </is>
      </c>
      <c r="D200" s="37" t="inlineStr">
        <is>
          <t>Journaliste</t>
        </is>
      </c>
      <c r="E200" s="36" t="inlineStr">
        <is>
          <t>L'Express (Drummondville)</t>
        </is>
      </c>
      <c r="F200" s="36" t="inlineStr">
        <is>
          <t>louis-philippe.samson@journalexpress.ca</t>
        </is>
      </c>
      <c r="G200" s="36" t="inlineStr">
        <is>
          <t>819 478-8171 poste 518</t>
        </is>
      </c>
      <c r="H200" s="36" t="inlineStr">
        <is>
          <t>Centre-du-Québec</t>
        </is>
      </c>
      <c r="I200" s="37" t="inlineStr">
        <is>
          <t>Économie</t>
        </is>
      </c>
      <c r="J200" s="36" t="n"/>
      <c r="K200" s="42" t="inlineStr">
        <is>
          <t>Ouvrir</t>
        </is>
      </c>
      <c r="L200" s="38" t="n"/>
      <c r="M200" s="38" t="n"/>
      <c r="N200" s="39" t="n"/>
      <c r="O200" s="25" t="inlineStr">
        <is>
          <t>B</t>
        </is>
      </c>
      <c r="P200" s="25" t="inlineStr">
        <is>
          <t>Centre-du-Québec : Lasclay au premier episode de la 21e saison de Dragons' Den</t>
        </is>
      </c>
      <c r="Q200" s="25" t="inlineStr">
        <is>
          <t>Bonjour Louis-Philippe,</t>
        </is>
      </c>
      <c r="S200" s="46" t="inlineStr">
        <is>
          <t>Bonjour Louis-Philippe,
L'asclépiade se cultive dans votre région depuis la première vague de 2013, et plusieurs producteurs qui ont survécu à l'effondrement de la filière y sont encore.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201" ht="15" customHeight="1" s="26">
      <c r="A201" s="43" t="inlineStr">
        <is>
          <t>C</t>
        </is>
      </c>
      <c r="B201" s="36" t="inlineStr">
        <is>
          <t>Catherine</t>
        </is>
      </c>
      <c r="C201" s="36" t="inlineStr">
        <is>
          <t>Schlager</t>
        </is>
      </c>
      <c r="D201" s="37" t="inlineStr">
        <is>
          <t>Journaliste au pupitre</t>
        </is>
      </c>
      <c r="E201" s="36" t="inlineStr">
        <is>
          <t>La Presse</t>
        </is>
      </c>
      <c r="F201" s="36" t="inlineStr">
        <is>
          <t>cschlager@lapresse.ca</t>
        </is>
      </c>
      <c r="G201" s="36" t="inlineStr">
        <is>
          <t>514 285-7000, #6581</t>
        </is>
      </c>
      <c r="H201" s="36" t="inlineStr">
        <is>
          <t>Montréal</t>
        </is>
      </c>
      <c r="I201" s="37" t="inlineStr">
        <is>
          <t>Art de vivre; Consommation</t>
        </is>
      </c>
      <c r="J201" s="36" t="n"/>
      <c r="K201" s="42" t="inlineStr">
        <is>
          <t>Ouvrir</t>
        </is>
      </c>
      <c r="L201" s="38" t="n"/>
      <c r="M201" s="38" t="n"/>
      <c r="N201" s="39" t="n"/>
      <c r="O201" s="25" t="inlineStr">
        <is>
          <t>G</t>
        </is>
      </c>
      <c r="P201" s="25" t="inlineStr">
        <is>
          <t>Un manteau isole avec une mauvaise herbe, au premier episode de Dragons' Den</t>
        </is>
      </c>
      <c r="Q201" s="25" t="inlineStr">
        <is>
          <t>Bonjour Catherine,</t>
        </is>
      </c>
      <c r="S201" s="46" t="inlineStr">
        <is>
          <t>Bonjour Catherine,
L'asclépiade est la plante que les agriculteurs arrachent depuis 50 ans. La soie attachée à ses graines est ce qui isole nos manteaux, nos mitaines et nos tuques.
Le 17 septembre, Lasclay est dans le premier épisode de la 21e saison de Dragons' Den, sur CBC et CBC Gem.
Je ne peux pas dire comment ça s'est terminé avant la diffusion.
J'ai du matériel photo qui montre bien le contraste : la gousse dans le champ, la soie dans la main, le produit porté. L'atelier de Limoilou est ouvert si vous voulez voir la matière.
Une précision qui compte : l'isolant est cultivé et transformé au Québec, l'assemblage des produits finis se fait en Tunisie depuis 2025. Je ne dis pas « fabriqué au Québec », ce serait faux.</t>
        </is>
      </c>
    </row>
    <row r="202" ht="15" customHeight="1" s="26">
      <c r="A202" s="43" t="inlineStr">
        <is>
          <t>C</t>
        </is>
      </c>
      <c r="B202" s="36" t="inlineStr">
        <is>
          <t>Olivier</t>
        </is>
      </c>
      <c r="C202" s="36" t="inlineStr">
        <is>
          <t>Schmouker</t>
        </is>
      </c>
      <c r="D202" s="37" t="inlineStr">
        <is>
          <t>Chroniqueur et responsable des dossiers</t>
        </is>
      </c>
      <c r="E202" s="36" t="inlineStr">
        <is>
          <t>Les Affaires</t>
        </is>
      </c>
      <c r="F202" s="36" t="inlineStr">
        <is>
          <t>olivier.schmouker@groupecontex.ca</t>
        </is>
      </c>
      <c r="G202" s="36" t="n"/>
      <c r="H202" s="36" t="inlineStr">
        <is>
          <t>Montréal</t>
        </is>
      </c>
      <c r="I202" s="37" t="inlineStr">
        <is>
          <t>Économie</t>
        </is>
      </c>
      <c r="J202" s="36" t="n"/>
      <c r="K202" s="42" t="inlineStr">
        <is>
          <t>Ouvrir</t>
        </is>
      </c>
      <c r="L202" s="38" t="n"/>
      <c r="M202" s="38" t="n"/>
      <c r="N202" s="39" t="n"/>
      <c r="O202" s="25" t="inlineStr">
        <is>
          <t>E</t>
        </is>
      </c>
      <c r="P202" s="25" t="inlineStr">
        <is>
          <t>Une PME qui a rapatrie sa production, puis en a delocalise une partie</t>
        </is>
      </c>
      <c r="Q202" s="25" t="inlineStr">
        <is>
          <t>Bonjour Olivier,</t>
        </is>
      </c>
      <c r="S202" s="46" t="inlineStr">
        <is>
          <t>Bonjour Olivier,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203" ht="15" customHeight="1" s="26">
      <c r="A203" s="43" t="inlineStr">
        <is>
          <t>C</t>
        </is>
      </c>
      <c r="B203" s="36" t="inlineStr">
        <is>
          <t>Jacques</t>
        </is>
      </c>
      <c r="C203" s="36" t="inlineStr">
        <is>
          <t>Sennechael</t>
        </is>
      </c>
      <c r="D203" s="37" t="inlineStr">
        <is>
          <t>Rédacteur en chef</t>
        </is>
      </c>
      <c r="E203" s="36" t="inlineStr">
        <is>
          <t>Vélo Québec Éditions - Vélo Mag</t>
        </is>
      </c>
      <c r="F203" s="36" t="inlineStr">
        <is>
          <t>jsennechael@velo.qc.ca</t>
        </is>
      </c>
      <c r="G203" s="36" t="n"/>
      <c r="H203" s="36" t="inlineStr">
        <is>
          <t>Lanaudière</t>
        </is>
      </c>
      <c r="I203" s="37" t="inlineStr">
        <is>
          <t>Plein air</t>
        </is>
      </c>
      <c r="J203" s="36" t="n"/>
      <c r="K203" s="42" t="inlineStr">
        <is>
          <t>Ouvrir</t>
        </is>
      </c>
      <c r="L203" s="38" t="n"/>
      <c r="M203" s="38" t="n"/>
      <c r="N203" s="39" t="n"/>
      <c r="O203" s="25" t="inlineStr">
        <is>
          <t>B</t>
        </is>
      </c>
      <c r="P203" s="25" t="inlineStr">
        <is>
          <t>Lanaudière : Lasclay au premier episode de la 21e saison de Dragons' Den</t>
        </is>
      </c>
      <c r="Q203" s="25" t="inlineStr">
        <is>
          <t>Bonjour Jacques,</t>
        </is>
      </c>
      <c r="S203" s="46" t="inlineStr">
        <is>
          <t>Bonjour Jacques,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204" ht="15" customHeight="1" s="26">
      <c r="A204" s="43" t="inlineStr">
        <is>
          <t>C</t>
        </is>
      </c>
      <c r="B204" s="36" t="inlineStr">
        <is>
          <t>Alexandre</t>
        </is>
      </c>
      <c r="C204" s="36" t="inlineStr">
        <is>
          <t>Shields</t>
        </is>
      </c>
      <c r="D204" s="37" t="inlineStr">
        <is>
          <t>Journaliste</t>
        </is>
      </c>
      <c r="E204" s="36" t="inlineStr">
        <is>
          <t>Le Devoir</t>
        </is>
      </c>
      <c r="F204" s="36" t="inlineStr">
        <is>
          <t>ashields@ledevoir.com</t>
        </is>
      </c>
      <c r="G204" s="36" t="inlineStr">
        <is>
          <t>514-583-1055</t>
        </is>
      </c>
      <c r="H204" s="36" t="inlineStr">
        <is>
          <t>Montréal</t>
        </is>
      </c>
      <c r="I204" s="37" t="inlineStr">
        <is>
          <t>Environnement</t>
        </is>
      </c>
      <c r="J204" s="36" t="n"/>
      <c r="K204" s="42" t="inlineStr">
        <is>
          <t>Ouvrir</t>
        </is>
      </c>
      <c r="L204" s="38" t="n"/>
      <c r="M204" s="38" t="n"/>
      <c r="N204" s="39" t="n"/>
      <c r="O204" s="25" t="inlineStr">
        <is>
          <t>D</t>
        </is>
      </c>
      <c r="P204" s="25" t="inlineStr">
        <is>
          <t>Le monarque, l'asclepiade, et l'idee qu'il faut la rendre payante</t>
        </is>
      </c>
      <c r="Q204" s="25" t="inlineStr">
        <is>
          <t>Bonjour Alexandre,</t>
        </is>
      </c>
      <c r="S204" s="46" t="inlineStr">
        <is>
          <t>Bonjour Alexandre,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05" ht="15" customHeight="1" s="26">
      <c r="A205" s="43" t="inlineStr">
        <is>
          <t>C</t>
        </is>
      </c>
      <c r="B205" s="36" t="inlineStr">
        <is>
          <t>Chloé</t>
        </is>
      </c>
      <c r="C205" s="36" t="inlineStr">
        <is>
          <t>Sondervorst</t>
        </is>
      </c>
      <c r="D205" s="37" t="inlineStr">
        <is>
          <t>Réalisatrice</t>
        </is>
      </c>
      <c r="E205" s="36" t="inlineStr">
        <is>
          <t>Radio-Canada (QC)</t>
        </is>
      </c>
      <c r="F205" s="36" t="inlineStr">
        <is>
          <t>chloe.sondervorst@radio-canada.ca</t>
        </is>
      </c>
      <c r="G205" s="36" t="n"/>
      <c r="H205" s="36" t="inlineStr">
        <is>
          <t>Montréal</t>
        </is>
      </c>
      <c r="I205" s="37" t="inlineStr">
        <is>
          <t>Environnement</t>
        </is>
      </c>
      <c r="J205" s="36" t="n"/>
      <c r="K205" s="42" t="inlineStr">
        <is>
          <t>Ouvrir</t>
        </is>
      </c>
      <c r="L205" s="38" t="n"/>
      <c r="M205" s="38" t="n"/>
      <c r="N205" s="39" t="n"/>
      <c r="O205" s="25" t="inlineStr">
        <is>
          <t>D</t>
        </is>
      </c>
      <c r="P205" s="25" t="inlineStr">
        <is>
          <t>Le monarque, l'asclepiade, et l'idee qu'il faut la rendre payante</t>
        </is>
      </c>
      <c r="Q205" s="25" t="inlineStr">
        <is>
          <t>Bonjour Chloé,</t>
        </is>
      </c>
      <c r="S205" s="46" t="inlineStr">
        <is>
          <t>Bonjour Chloé,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06" ht="15" customHeight="1" s="26">
      <c r="A206" s="43" t="inlineStr">
        <is>
          <t>C</t>
        </is>
      </c>
      <c r="B206" s="36" t="inlineStr">
        <is>
          <t>Kimberley</t>
        </is>
      </c>
      <c r="C206" s="36" t="inlineStr">
        <is>
          <t>Sullivan</t>
        </is>
      </c>
      <c r="D206" s="37" t="inlineStr">
        <is>
          <t>Animatrice, journaliste, productrice</t>
        </is>
      </c>
      <c r="E206" s="36" t="inlineStr">
        <is>
          <t>Pigiste</t>
        </is>
      </c>
      <c r="F206" s="36" t="inlineStr">
        <is>
          <t>ksullivan@aptn.ca</t>
        </is>
      </c>
      <c r="G206" s="36" t="inlineStr">
        <is>
          <t>514-888-1046</t>
        </is>
      </c>
      <c r="H206" s="36" t="inlineStr">
        <is>
          <t>Montérégie</t>
        </is>
      </c>
      <c r="I206" s="37" t="inlineStr">
        <is>
          <t>Art de vivre</t>
        </is>
      </c>
      <c r="J206" s="36" t="n"/>
      <c r="K206" s="42" t="inlineStr">
        <is>
          <t>Ouvrir</t>
        </is>
      </c>
      <c r="L206" s="38" t="n"/>
      <c r="M206" s="38" t="n"/>
      <c r="N206" s="39" t="n"/>
      <c r="O206" s="25" t="inlineStr">
        <is>
          <t>I</t>
        </is>
      </c>
      <c r="P206" s="25" t="inlineStr">
        <is>
          <t>Invite disponible : Lasclay a Dragons' Den le 17 septembre</t>
        </is>
      </c>
      <c r="Q206" s="25" t="inlineStr">
        <is>
          <t>Bonjour Kimberley,</t>
        </is>
      </c>
      <c r="R206" s="25" t="inlineStr">
        <is>
          <t>Adresse personnelle : individualiser vraiment</t>
        </is>
      </c>
      <c r="S206" s="46" t="inlineStr">
        <is>
          <t>Bonjour Kimberley,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07" ht="15" customHeight="1" s="26">
      <c r="A207" s="43" t="inlineStr">
        <is>
          <t>C</t>
        </is>
      </c>
      <c r="B207" s="36" t="inlineStr">
        <is>
          <t>William</t>
        </is>
      </c>
      <c r="C207" s="36" t="inlineStr">
        <is>
          <t>Thériault</t>
        </is>
      </c>
      <c r="D207" s="37" t="inlineStr">
        <is>
          <t>Journaliste</t>
        </is>
      </c>
      <c r="E207" s="36" t="inlineStr">
        <is>
          <t>La Presse</t>
        </is>
      </c>
      <c r="F207" s="36" t="inlineStr">
        <is>
          <t>williamtheriault1@gmail.com</t>
        </is>
      </c>
      <c r="G207" s="36" t="n"/>
      <c r="H207" s="36" t="inlineStr">
        <is>
          <t>Montérégie</t>
        </is>
      </c>
      <c r="I207" s="37" t="inlineStr">
        <is>
          <t>Économie</t>
        </is>
      </c>
      <c r="J207" s="36" t="n"/>
      <c r="K207" s="42" t="inlineStr">
        <is>
          <t>Ouvrir</t>
        </is>
      </c>
      <c r="L207" s="38" t="n"/>
      <c r="M207" s="38" t="n"/>
      <c r="N207" s="39" t="n"/>
      <c r="O207" s="25" t="inlineStr">
        <is>
          <t>E</t>
        </is>
      </c>
      <c r="P207" s="25" t="inlineStr">
        <is>
          <t>Une PME qui a rapatrie sa production, puis en a delocalise une partie</t>
        </is>
      </c>
      <c r="Q207" s="25" t="inlineStr">
        <is>
          <t>Bonjour William,</t>
        </is>
      </c>
      <c r="R207" s="25" t="inlineStr">
        <is>
          <t>Adresse personnelle : individualiser vraiment</t>
        </is>
      </c>
      <c r="S207" s="46" t="inlineStr">
        <is>
          <t>Bonjour William,
La Montérégie est une des régions où l'asclépiade se cultive encore, malgré l'effondrement de la filière en 2018.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208" ht="15" customHeight="1" s="26">
      <c r="A208" s="43" t="inlineStr">
        <is>
          <t>C</t>
        </is>
      </c>
      <c r="B208" s="36" t="inlineStr">
        <is>
          <t>Katia</t>
        </is>
      </c>
      <c r="C208" s="36" t="inlineStr">
        <is>
          <t>Tobar</t>
        </is>
      </c>
      <c r="D208" s="37" t="inlineStr">
        <is>
          <t>Pupitre</t>
        </is>
      </c>
      <c r="E208" s="36" t="inlineStr">
        <is>
          <t>Les Affaires</t>
        </is>
      </c>
      <c r="F208" s="36" t="inlineStr">
        <is>
          <t>katia.tobar@groupecontex.ca</t>
        </is>
      </c>
      <c r="G208" s="36" t="inlineStr">
        <is>
          <t>514 503 9958</t>
        </is>
      </c>
      <c r="H208" s="36" t="inlineStr">
        <is>
          <t>Montréal</t>
        </is>
      </c>
      <c r="I208" s="37" t="inlineStr">
        <is>
          <t>Économie</t>
        </is>
      </c>
      <c r="J208" s="36" t="n"/>
      <c r="K208" s="42" t="inlineStr">
        <is>
          <t>Ouvrir</t>
        </is>
      </c>
      <c r="L208" s="38" t="n"/>
      <c r="M208" s="38" t="n"/>
      <c r="N208" s="39" t="n"/>
      <c r="O208" s="25" t="inlineStr">
        <is>
          <t>E</t>
        </is>
      </c>
      <c r="P208" s="25" t="inlineStr">
        <is>
          <t>Une PME qui a rapatrie sa production, puis en a delocalise une partie</t>
        </is>
      </c>
      <c r="Q208" s="25" t="inlineStr">
        <is>
          <t>Bonjour Katia,</t>
        </is>
      </c>
      <c r="S208" s="46" t="inlineStr">
        <is>
          <t>Bonjour Katia,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209" ht="15" customHeight="1" s="26">
      <c r="A209" s="43" t="inlineStr">
        <is>
          <t>C</t>
        </is>
      </c>
      <c r="B209" s="36" t="inlineStr">
        <is>
          <t>Martin</t>
        </is>
      </c>
      <c r="C209" s="36" t="inlineStr">
        <is>
          <t>Tremblay</t>
        </is>
      </c>
      <c r="D209" s="37" t="inlineStr">
        <is>
          <t>Photojournaliste-vidéaste</t>
        </is>
      </c>
      <c r="E209" s="36" t="inlineStr">
        <is>
          <t>La Presse</t>
        </is>
      </c>
      <c r="F209" s="36" t="inlineStr">
        <is>
          <t>martin.tremblay@lapresse.ca</t>
        </is>
      </c>
      <c r="G209" s="36" t="n"/>
      <c r="H209" s="36" t="inlineStr">
        <is>
          <t>Montréal</t>
        </is>
      </c>
      <c r="I209" s="37" t="inlineStr">
        <is>
          <t>Environnement</t>
        </is>
      </c>
      <c r="J209" s="36" t="n"/>
      <c r="K209" s="42" t="inlineStr">
        <is>
          <t>Ouvrir</t>
        </is>
      </c>
      <c r="L209" s="38" t="n"/>
      <c r="M209" s="38" t="n"/>
      <c r="N209" s="39" t="n"/>
      <c r="O209" s="25" t="inlineStr">
        <is>
          <t>D</t>
        </is>
      </c>
      <c r="P209" s="25" t="inlineStr">
        <is>
          <t>Le monarque, l'asclepiade, et l'idee qu'il faut la rendre payante</t>
        </is>
      </c>
      <c r="Q209" s="25" t="inlineStr">
        <is>
          <t>Bonjour Martin,</t>
        </is>
      </c>
      <c r="S209" s="46" t="inlineStr">
        <is>
          <t>Bonjour Martin,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10" ht="15" customHeight="1" s="26">
      <c r="A210" s="43" t="inlineStr">
        <is>
          <t>C</t>
        </is>
      </c>
      <c r="B210" s="36" t="inlineStr">
        <is>
          <t>Marie-Christine</t>
        </is>
      </c>
      <c r="C210" s="36" t="inlineStr">
        <is>
          <t>Trottier</t>
        </is>
      </c>
      <c r="D210" s="37" t="inlineStr">
        <is>
          <t>Journaliste - animatrice</t>
        </is>
      </c>
      <c r="E210" s="36" t="inlineStr">
        <is>
          <t>Radio-Canada (Radio - Montréal)</t>
        </is>
      </c>
      <c r="F210" s="36" t="inlineStr">
        <is>
          <t>marie-christine.trottier@radio-canada.ca</t>
        </is>
      </c>
      <c r="G210" s="36" t="inlineStr">
        <is>
          <t>514 597-5767</t>
        </is>
      </c>
      <c r="H210" s="36" t="inlineStr">
        <is>
          <t>Montréal</t>
        </is>
      </c>
      <c r="I210" s="37" t="inlineStr">
        <is>
          <t>Art de vivre; Plein air</t>
        </is>
      </c>
      <c r="J210" s="36" t="n"/>
      <c r="K210" s="42" t="inlineStr">
        <is>
          <t>Ouvrir</t>
        </is>
      </c>
      <c r="L210" s="38" t="n"/>
      <c r="M210" s="38" t="n"/>
      <c r="N210" s="39" t="n"/>
      <c r="O210" s="25" t="inlineStr">
        <is>
          <t>I</t>
        </is>
      </c>
      <c r="P210" s="25" t="inlineStr">
        <is>
          <t>Invite disponible : Lasclay a Dragons' Den le 17 septembre</t>
        </is>
      </c>
      <c r="Q210" s="25" t="inlineStr">
        <is>
          <t>Bonjour Marie-Christine,</t>
        </is>
      </c>
      <c r="S210" s="46" t="inlineStr">
        <is>
          <t>Bonjour Marie-Christine,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11" ht="15" customHeight="1" s="26">
      <c r="A211" s="43" t="inlineStr">
        <is>
          <t>C</t>
        </is>
      </c>
      <c r="B211" s="36" t="inlineStr">
        <is>
          <t>Pierre-Luc</t>
        </is>
      </c>
      <c r="C211" s="36" t="inlineStr">
        <is>
          <t>Trudel</t>
        </is>
      </c>
      <c r="D211" s="37" t="inlineStr">
        <is>
          <t>Rédacteur en chef</t>
        </is>
      </c>
      <c r="E211" s="36" t="inlineStr">
        <is>
          <t>Avantages</t>
        </is>
      </c>
      <c r="F211" s="36" t="inlineStr">
        <is>
          <t>pierre-luc.trudel@groupecontex.ca</t>
        </is>
      </c>
      <c r="G211" s="36" t="inlineStr">
        <is>
          <t>514 392-2009, poste 170</t>
        </is>
      </c>
      <c r="H211" s="36" t="inlineStr">
        <is>
          <t>Montréal</t>
        </is>
      </c>
      <c r="I211" s="37" t="inlineStr">
        <is>
          <t>Économie</t>
        </is>
      </c>
      <c r="J211" s="36" t="n"/>
      <c r="K211" s="42" t="inlineStr">
        <is>
          <t>Ouvrir</t>
        </is>
      </c>
      <c r="L211" s="38" t="n"/>
      <c r="M211" s="38" t="n"/>
      <c r="N211" s="39" t="n"/>
      <c r="O211" s="25" t="inlineStr">
        <is>
          <t>E</t>
        </is>
      </c>
      <c r="P211" s="25" t="inlineStr">
        <is>
          <t>Une PME qui a rapatrie sa production, puis en a delocalise une partie</t>
        </is>
      </c>
      <c r="Q211" s="25" t="inlineStr">
        <is>
          <t>Bonjour Pierre-Luc,</t>
        </is>
      </c>
      <c r="S211" s="46" t="inlineStr">
        <is>
          <t>Bonjour Pierre-Luc,
En 2021, on a acheté une matelasseuse usagée en Ontario et bâti nos propres procédés parce qu'aucun sous-traitant ne voulait toucher à l'asclépiade. En 2025, on a confié l'assemblage textile à des manufacturiers externes.
Le 17 septembre, Lasclay est dans le premier épisode de la 21e saison de Dragons' Den, sur CBC et CBC Gem.
Je ne peux pas dire comment ça s'est terminé avant la diffusion.
C'est ce qui a permis un manteau isolé à l'asclépiade autour de 300 $, après des tentatives de l'industrie à plus de 500 $ et 1000 $ qui ont toutes été discontinuées.
Ce dont je peux parler : industrialiser une matière qui n'a pas de chaîne d'approvisionnement, et ce que le virage a coûté.</t>
        </is>
      </c>
    </row>
    <row r="212" ht="15" customHeight="1" s="26">
      <c r="A212" s="43" t="inlineStr">
        <is>
          <t>C</t>
        </is>
      </c>
      <c r="B212" s="36" t="inlineStr">
        <is>
          <t>David</t>
        </is>
      </c>
      <c r="C212" s="36" t="inlineStr">
        <is>
          <t>Turbis</t>
        </is>
      </c>
      <c r="D212" s="37" t="inlineStr">
        <is>
          <t>journaliste / photographe de presse</t>
        </is>
      </c>
      <c r="E212" s="36" t="inlineStr">
        <is>
          <t>C B C (Radio-Canada)</t>
        </is>
      </c>
      <c r="F212" s="36" t="inlineStr">
        <is>
          <t>lagrc2015@gmail.com</t>
        </is>
      </c>
      <c r="G212" s="36" t="n"/>
      <c r="H212" s="36" t="inlineStr">
        <is>
          <t>Montréal</t>
        </is>
      </c>
      <c r="I212" s="37" t="inlineStr">
        <is>
          <t>Art de vivre</t>
        </is>
      </c>
      <c r="J212" s="36" t="n"/>
      <c r="K212" s="42" t="inlineStr">
        <is>
          <t>Ouvrir</t>
        </is>
      </c>
      <c r="L212" s="38" t="n"/>
      <c r="M212" s="38" t="n"/>
      <c r="N212" s="39" t="n"/>
      <c r="O212" s="25" t="inlineStr">
        <is>
          <t>I</t>
        </is>
      </c>
      <c r="P212" s="25" t="inlineStr">
        <is>
          <t>Invite disponible : Lasclay a Dragons' Den le 17 septembre</t>
        </is>
      </c>
      <c r="Q212" s="25" t="inlineStr">
        <is>
          <t>Bonjour David,</t>
        </is>
      </c>
      <c r="R212" s="25" t="inlineStr">
        <is>
          <t>Adresse personnelle : individualiser vraiment</t>
        </is>
      </c>
      <c r="S212" s="46" t="inlineStr">
        <is>
          <t>Bonjour David,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13" ht="15" customHeight="1" s="26">
      <c r="A213" s="43" t="inlineStr">
        <is>
          <t>C</t>
        </is>
      </c>
      <c r="B213" s="36" t="inlineStr">
        <is>
          <t>Paule</t>
        </is>
      </c>
      <c r="C213" s="36" t="inlineStr">
        <is>
          <t>Vermot-Desroches</t>
        </is>
      </c>
      <c r="D213" s="37" t="inlineStr">
        <is>
          <t>Chroniqueuse</t>
        </is>
      </c>
      <c r="E213" s="36" t="inlineStr">
        <is>
          <t>Le Nouvelliste</t>
        </is>
      </c>
      <c r="F213" s="36" t="inlineStr">
        <is>
          <t>paule.vermot-desroches@lenouvelliste.qc.ca</t>
        </is>
      </c>
      <c r="G213" s="36" t="inlineStr">
        <is>
          <t>819 699-6695</t>
        </is>
      </c>
      <c r="H213" s="36" t="inlineStr">
        <is>
          <t>Mauricie</t>
        </is>
      </c>
      <c r="I213" s="37" t="inlineStr">
        <is>
          <t>Économie</t>
        </is>
      </c>
      <c r="J213" s="36" t="n"/>
      <c r="K213" s="42" t="inlineStr">
        <is>
          <t>Ouvrir</t>
        </is>
      </c>
      <c r="L213" s="38" t="n"/>
      <c r="M213" s="38" t="n"/>
      <c r="N213" s="39" t="n"/>
      <c r="O213" s="25" t="inlineStr">
        <is>
          <t>B</t>
        </is>
      </c>
      <c r="P213" s="25" t="inlineStr">
        <is>
          <t>Mauricie : Lasclay au premier episode de la 21e saison de Dragons' Den</t>
        </is>
      </c>
      <c r="Q213" s="25" t="inlineStr">
        <is>
          <t>Bonjour Paule,</t>
        </is>
      </c>
      <c r="S213" s="46" t="inlineStr">
        <is>
          <t>Bonjour Paule,
L'asclépiade est un dossier économique mauricien avant tout : Les Industries Encore 3,
à Saint-Tite, achetaient 90 % des récoltes du Québec quand elles ont fait faillite,
entraînant la filière avec elles.
On a démarré après cet effondrement, avec l'idée de commencer petit et de vendre des
produits finis avant de promettre une industrie. le 17 septembre, Lasclay est dans le premier épisode de la 21e saison de Dragons' Den, sur CBC et CBC Gem.
Je ne peux pas dire comment ça s'est terminé avant la diffusion.
Le sujet économique : à quoi ressemble l'industrialisation d'un matériau qui n'a aucune
chaîne d'approvisionnement. On a rapatrié notre production en 2021 faute de
sous-traitant, puis sorti l'assemblage textile du Québec en 2025 pour rendre un manteau
accessible à 300 $. Les deux décisions se défendent, et elles se contredisent en
apparence.</t>
        </is>
      </c>
    </row>
    <row r="214" ht="15" customHeight="1" s="26">
      <c r="A214" s="43" t="inlineStr">
        <is>
          <t>C</t>
        </is>
      </c>
      <c r="B214" s="36" t="inlineStr">
        <is>
          <t>Alexandra</t>
        </is>
      </c>
      <c r="C214" s="36" t="inlineStr">
        <is>
          <t>Viau</t>
        </is>
      </c>
      <c r="D214" s="37" t="inlineStr">
        <is>
          <t>Réalisatrice de balados pour l'Information</t>
        </is>
      </c>
      <c r="E214" s="36" t="inlineStr">
        <is>
          <t>Radio-Canada (Radio - Montréal)</t>
        </is>
      </c>
      <c r="F214" s="36" t="inlineStr">
        <is>
          <t>alexandra.viau@radio-canada.ca</t>
        </is>
      </c>
      <c r="G214" s="36" t="inlineStr">
        <is>
          <t>5144750881</t>
        </is>
      </c>
      <c r="H214" s="36" t="inlineStr">
        <is>
          <t>Montréal</t>
        </is>
      </c>
      <c r="I214" s="37" t="inlineStr">
        <is>
          <t>Environnement</t>
        </is>
      </c>
      <c r="J214" s="36" t="n"/>
      <c r="K214" s="42" t="inlineStr">
        <is>
          <t>Ouvrir</t>
        </is>
      </c>
      <c r="L214" s="38" t="n"/>
      <c r="M214" s="38" t="n"/>
      <c r="N214" s="39" t="n"/>
      <c r="O214" s="25" t="inlineStr">
        <is>
          <t>I</t>
        </is>
      </c>
      <c r="P214" s="25" t="inlineStr">
        <is>
          <t>Invite disponible : Lasclay a Dragons' Den le 17 septembre</t>
        </is>
      </c>
      <c r="Q214" s="25" t="inlineStr">
        <is>
          <t>Bonjour Alexandra,</t>
        </is>
      </c>
      <c r="S214" s="46" t="inlineStr">
        <is>
          <t>Bonjour Alexandra,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la semaine du 14 septembre et le vendredi 18 au matin.
Le sujet en une phrase : une entreprise de Québec va expliquer à un auditoire pancanadien pourquoi la mauvaise herbe des champs de maïs peut isoler un manteau.</t>
        </is>
      </c>
    </row>
    <row r="215" ht="15" customHeight="1" s="26">
      <c r="A215" s="43" t="inlineStr">
        <is>
          <t>C</t>
        </is>
      </c>
      <c r="B215" s="36" t="inlineStr">
        <is>
          <t>Raymond</t>
        </is>
      </c>
      <c r="C215" s="36" t="inlineStr">
        <is>
          <t>Viger</t>
        </is>
      </c>
      <c r="D215" s="37" t="inlineStr">
        <is>
          <t>Éditeur</t>
        </is>
      </c>
      <c r="E215" s="36" t="inlineStr">
        <is>
          <t>Reflet de société</t>
        </is>
      </c>
      <c r="F215" s="36" t="inlineStr">
        <is>
          <t>raymondviger@hotmail.com</t>
        </is>
      </c>
      <c r="G215" s="36" t="inlineStr">
        <is>
          <t>5142569000</t>
        </is>
      </c>
      <c r="H215" s="36" t="inlineStr">
        <is>
          <t>Montréal</t>
        </is>
      </c>
      <c r="I215" s="37" t="inlineStr">
        <is>
          <t>Environnement</t>
        </is>
      </c>
      <c r="J215" s="36" t="n"/>
      <c r="K215" s="42" t="inlineStr">
        <is>
          <t>Ouvrir</t>
        </is>
      </c>
      <c r="L215" s="38" t="n"/>
      <c r="M215" s="38" t="n"/>
      <c r="N215" s="39" t="n"/>
      <c r="O215" s="25" t="inlineStr">
        <is>
          <t>D</t>
        </is>
      </c>
      <c r="P215" s="25" t="inlineStr">
        <is>
          <t>Le monarque, l'asclepiade, et l'idee qu'il faut la rendre payante</t>
        </is>
      </c>
      <c r="Q215" s="25" t="inlineStr">
        <is>
          <t>Bonjour Raymond,</t>
        </is>
      </c>
      <c r="R215" s="25" t="inlineStr">
        <is>
          <t>Adresse personnelle : individualiser vraiment</t>
        </is>
      </c>
      <c r="S215" s="46" t="inlineStr">
        <is>
          <t>Bonjour Raymond,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16" ht="15" customHeight="1" s="26">
      <c r="A216" s="43" t="inlineStr">
        <is>
          <t>C</t>
        </is>
      </c>
      <c r="B216" s="36" t="inlineStr">
        <is>
          <t>Paul Émile</t>
        </is>
      </c>
      <c r="C216" s="36" t="inlineStr">
        <is>
          <t>d'Entremont</t>
        </is>
      </c>
      <c r="D216" s="37" t="inlineStr">
        <is>
          <t>Réalisateur</t>
        </is>
      </c>
      <c r="E216" s="36" t="inlineStr">
        <is>
          <t>Radio-Canada</t>
        </is>
      </c>
      <c r="F216" s="36" t="inlineStr">
        <is>
          <t>paul.emile.dentremont@radio-canada.ca</t>
        </is>
      </c>
      <c r="G216" s="36" t="inlineStr">
        <is>
          <t>6043553941</t>
        </is>
      </c>
      <c r="H216" s="36" t="inlineStr">
        <is>
          <t>Canada anglais</t>
        </is>
      </c>
      <c r="I216" s="37" t="inlineStr">
        <is>
          <t>Économie</t>
        </is>
      </c>
      <c r="J216" s="36" t="n"/>
      <c r="K216" s="42" t="inlineStr">
        <is>
          <t>Ouvrir</t>
        </is>
      </c>
      <c r="L216" s="38" t="n"/>
      <c r="M216" s="38" t="n"/>
      <c r="N216" s="39" t="n"/>
      <c r="O216" s="25" t="inlineStr">
        <is>
          <t>B</t>
        </is>
      </c>
      <c r="P216" s="25" t="inlineStr">
        <is>
          <t>Canada anglais : Lasclay au premier episode de la 21e saison de Dragons' Den</t>
        </is>
      </c>
      <c r="Q216" s="25" t="inlineStr">
        <is>
          <t>Bonjour Paul Émile,</t>
        </is>
      </c>
      <c r="S216" s="46" t="inlineStr">
        <is>
          <t>Bonjour Paul Émile,
Lasclay est une entreprise de Québec qui transforme la soie d'asclépiade en isolant textile. Le 17 septembre, Lasclay est dans le premier épisode de la 21e saison de Dragons' Den, sur CBC et CBC Gem.
Je ne peux pas dire comment ça s'est terminé avant la diffusion.
Je suis disponible pour une entrevue avant ou après la diffusion, et je peux parler de ce qui se fait encore ici comme de ce qui n'y est plus.</t>
        </is>
      </c>
    </row>
    <row r="217" ht="15" customHeight="1" s="26">
      <c r="A217" s="43" t="inlineStr">
        <is>
          <t>C</t>
        </is>
      </c>
      <c r="B217" s="36" t="inlineStr">
        <is>
          <t>Augustin</t>
        </is>
      </c>
      <c r="C217" s="36" t="inlineStr">
        <is>
          <t>de Baudinière</t>
        </is>
      </c>
      <c r="D217" s="37" t="inlineStr">
        <is>
          <t>Journaliste au pupitre</t>
        </is>
      </c>
      <c r="E217" s="36" t="inlineStr">
        <is>
          <t>Le Devoir</t>
        </is>
      </c>
      <c r="F217" s="36" t="inlineStr">
        <is>
          <t>adebaudiniere@ledevoir.com</t>
        </is>
      </c>
      <c r="G217" s="36" t="inlineStr">
        <is>
          <t>514 985-3416</t>
        </is>
      </c>
      <c r="H217" s="36" t="inlineStr">
        <is>
          <t>Montréal</t>
        </is>
      </c>
      <c r="I217" s="37" t="inlineStr">
        <is>
          <t>Environnement</t>
        </is>
      </c>
      <c r="J217" s="36" t="n"/>
      <c r="K217" s="42" t="inlineStr">
        <is>
          <t>Ouvrir</t>
        </is>
      </c>
      <c r="L217" s="38" t="n"/>
      <c r="M217" s="38" t="n"/>
      <c r="N217" s="39" t="n"/>
      <c r="O217" s="25" t="inlineStr">
        <is>
          <t>D</t>
        </is>
      </c>
      <c r="P217" s="25" t="inlineStr">
        <is>
          <t>Le monarque, l'asclepiade, et l'idee qu'il faut la rendre payante</t>
        </is>
      </c>
      <c r="Q217" s="25" t="inlineStr">
        <is>
          <t>Bonjour Augustin,</t>
        </is>
      </c>
      <c r="S217" s="46" t="inlineStr">
        <is>
          <t>Bonjour Augustin,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18" ht="15" customHeight="1" s="26">
      <c r="A218" s="43" t="inlineStr">
        <is>
          <t>C</t>
        </is>
      </c>
      <c r="B218" s="36" t="inlineStr">
        <is>
          <t>Ivan</t>
        </is>
      </c>
      <c r="C218" s="36" t="inlineStr">
        <is>
          <t>de Jacquelin-Dulphe</t>
        </is>
      </c>
      <c r="D218" s="37" t="inlineStr">
        <is>
          <t>Journaliste</t>
        </is>
      </c>
      <c r="E218" s="36" t="inlineStr">
        <is>
          <t>Radio-Canada</t>
        </is>
      </c>
      <c r="F218" s="36" t="inlineStr">
        <is>
          <t>ivan.de.jacquelin-dulphe@radio-canada.ca</t>
        </is>
      </c>
      <c r="G218" s="36" t="n"/>
      <c r="H218" s="36" t="inlineStr">
        <is>
          <t>Montréal</t>
        </is>
      </c>
      <c r="I218" s="37" t="inlineStr">
        <is>
          <t>Environnement</t>
        </is>
      </c>
      <c r="J218" s="36" t="n"/>
      <c r="K218" s="42" t="inlineStr">
        <is>
          <t>Ouvrir</t>
        </is>
      </c>
      <c r="L218" s="38" t="n"/>
      <c r="M218" s="38" t="n"/>
      <c r="N218" s="39" t="n"/>
      <c r="O218" s="25" t="inlineStr">
        <is>
          <t>D</t>
        </is>
      </c>
      <c r="P218" s="25" t="inlineStr">
        <is>
          <t>Le monarque, l'asclepiade, et l'idee qu'il faut la rendre payante</t>
        </is>
      </c>
      <c r="Q218" s="25" t="inlineStr">
        <is>
          <t>Bonjour Ivan,</t>
        </is>
      </c>
      <c r="S218" s="46" t="inlineStr">
        <is>
          <t>Bonjour Ivan,
Le monarque est en voie de disparition au Canada depuis un statut confirmé en 2024, et son déclin est largement attribué à la disparition de l'asclépiade dans les zones agricoles.
Le 17 septembre, Lasclay est dans le premier épisode de la 21e saison de Dragons' Den, sur CBC et CBC Gem.
Je ne peux pas dire comment ça s'est terminé avant la diffusion.
Le pari de Lasclay est économique avant d'être écologique : si l'asclépiade paie, les agriculteurs la gardent dans leurs champs. On a distribué environ 10 millions de graines en Amérique du Nord.
Je précise toujours la même chose, parce que c'est souvent mal raconté : acheter un produit ne sauve pas un papillon en particulier. Le lien est systémique.</t>
        </is>
      </c>
    </row>
    <row r="219">
      <c r="A219" s="25" t="inlineStr">
        <is>
          <t>A</t>
        </is>
      </c>
      <c r="B219" s="25" t="inlineStr">
        <is>
          <t>Jean-Michel</t>
        </is>
      </c>
      <c r="C219" s="25" t="inlineStr">
        <is>
          <t>Leprince</t>
        </is>
      </c>
      <c r="D219" s="25" t="inlineStr">
        <is>
          <t>Journaliste</t>
        </is>
      </c>
      <c r="E219" s="25" t="inlineStr">
        <is>
          <t>Radio-Canada</t>
        </is>
      </c>
      <c r="F219" s="25" t="inlineStr">
        <is>
          <t>jean-michel_leprince@radio-canada.ca</t>
        </is>
      </c>
      <c r="H219" s="25" t="inlineStr">
        <is>
          <t>Montreal</t>
        </is>
      </c>
      <c r="I219" s="25" t="inlineStr">
        <is>
          <t>Agriculture; Environnement; Sciences</t>
        </is>
      </c>
      <c r="N219" s="25" t="inlineStr">
        <is>
          <t>Nombreux reportages sur l'asclepiade au Telejournal depuis 2014. Jamais de contact avec Lasclay. Adresse fournie par Gabriel.</t>
        </is>
      </c>
      <c r="O219" s="25" t="inlineStr">
        <is>
          <t>J</t>
        </is>
      </c>
      <c r="P219" s="25" t="inlineStr">
        <is>
          <t>Vous couvrez l'asclepiade depuis 2014. Il y a une suite.</t>
        </is>
      </c>
      <c r="Q219" s="25" t="inlineStr">
        <is>
          <t>Bonjour Jean-Michel,</t>
        </is>
      </c>
      <c r="S219" s="46" t="inlineStr">
        <is>
          <t>Bonjour Jean-Michel,
Vous couvrez l'asclépiade depuis au moins 2014. Le Téléjournal, la soie d'Amérique
partie sur l'Everest, le pouvoir absorbant de la fibre sur les hydrocarbures, le lien
avec le monarque. Vous avez suivi cette histoire plus longtemps que la plupart des
entreprises qui s'y sont essayées.
Vous avez donc vu la suite : Encore 3, Fibre Monark et Protec-Style ont fermé les unes
après les autres, et la coopérative Monark s'est retrouvée sans acheteur.
On est l'entreprise qui a démarré après. Six ans plus tard, on achète encore de
l'asclépiade québécoise, on transforme l'isolant nous-mêmes à Limoilou, et le 17 septembre, Lasclay est dans le premier épisode de la 21e saison de Dragons' Den, sur CBC et CBC Gem.
Je ne peux pas dire comment ça s'est terminé avant la diffusion.
Ce que je peux raconter, et que personne n'a encore raconté au complet : pourquoi la
première filière est morte, ce qu'on a fait différemment, et ce qui n'est toujours pas
réglé, à commencer par la mécanisation de la récolte. Je n'ai pas besoin de vous
expliquer la plante.</t>
        </is>
      </c>
    </row>
    <row r="220">
      <c r="A220" s="25" t="inlineStr">
        <is>
          <t>B</t>
        </is>
      </c>
      <c r="B220" s="25" t="inlineStr">
        <is>
          <t>Antoine</t>
        </is>
      </c>
      <c r="C220" s="25" t="inlineStr">
        <is>
          <t>Stab</t>
        </is>
      </c>
      <c r="D220" s="25" t="inlineStr">
        <is>
          <t>Journaliste</t>
        </is>
      </c>
      <c r="E220" s="25" t="inlineStr">
        <is>
          <t>Espaces</t>
        </is>
      </c>
      <c r="F220" s="25" t="inlineStr"/>
      <c r="H220" s="25" t="inlineStr">
        <is>
          <t>Montreal</t>
        </is>
      </c>
      <c r="I220" s="25" t="inlineStr">
        <is>
          <t>Environnement; Plein air</t>
        </is>
      </c>
      <c r="N220" s="25" t="inlineStr">
        <is>
          <t>A signe sur le soyer du Quebec dans Espaces (2015-02-16). Courriel a trouver, et verifier qu'il y est toujours.</t>
        </is>
      </c>
      <c r="O220" s="25" t="inlineStr">
        <is>
          <t>J</t>
        </is>
      </c>
      <c r="P220" s="25" t="inlineStr">
        <is>
          <t>Vous couvrez l'asclepiade depuis 2015. Il y a une suite.</t>
        </is>
      </c>
      <c r="Q220" s="25" t="inlineStr">
        <is>
          <t>Bonjour Antoine,</t>
        </is>
      </c>
      <c r="R220" s="25" t="inlineStr">
        <is>
          <t>Courriel introuvable : a chercher avant l'envoi</t>
        </is>
      </c>
      <c r="S220" s="46" t="inlineStr">
        <is>
          <t>Bonjour Antoine,
Vous aviez écrit sur le soyer du Québec dans Espaces en février 2015, à l'époque où la
fibre devait remplacer le duvet. Vous savez donc ce qui a suivi : les transformateurs
ont fait faillite les uns après les autres à partir de 2017.
On est l'entreprise qui a démarré après. Six ans plus tard, on achète encore de
l'asclépiade québécoise, on transforme l'isolant nous-mêmes, et le 17 septembre, Lasclay est dans le premier épisode de la 21e saison de Dragons' Den, sur CBC et CBC Gem.
Je ne peux pas dire comment ça s'est terminé avant la diffusion.
Côté plein air, ce qui a changé depuis votre article : il existe maintenant un manteau
à inserts d'asclépiade amovibles autour de 300 $. Je préfère que vous le testiez plutôt
que de me croire.</t>
        </is>
      </c>
    </row>
  </sheetData>
  <autoFilter ref="A1:N218"/>
  <hyperlinks>
    <hyperlink xmlns:r="http://schemas.openxmlformats.org/officeDocument/2006/relationships" ref="K2" display="Ouvrir" r:id="rId1"/>
    <hyperlink xmlns:r="http://schemas.openxmlformats.org/officeDocument/2006/relationships" ref="K3" display="Ouvrir" r:id="rId2"/>
    <hyperlink xmlns:r="http://schemas.openxmlformats.org/officeDocument/2006/relationships" ref="K4" display="Ouvrir" r:id="rId3"/>
    <hyperlink xmlns:r="http://schemas.openxmlformats.org/officeDocument/2006/relationships" ref="K5" display="Ouvrir" r:id="rId4"/>
    <hyperlink xmlns:r="http://schemas.openxmlformats.org/officeDocument/2006/relationships" ref="K6" display="Ouvrir" r:id="rId5"/>
    <hyperlink xmlns:r="http://schemas.openxmlformats.org/officeDocument/2006/relationships" ref="K7" display="Ouvrir" r:id="rId6"/>
    <hyperlink xmlns:r="http://schemas.openxmlformats.org/officeDocument/2006/relationships" ref="K8" display="Ouvrir" r:id="rId7"/>
    <hyperlink xmlns:r="http://schemas.openxmlformats.org/officeDocument/2006/relationships" ref="K9" display="Ouvrir" r:id="rId8"/>
    <hyperlink xmlns:r="http://schemas.openxmlformats.org/officeDocument/2006/relationships" ref="K10" display="Ouvrir" r:id="rId9"/>
    <hyperlink xmlns:r="http://schemas.openxmlformats.org/officeDocument/2006/relationships" ref="K11" display="Ouvrir" r:id="rId10"/>
    <hyperlink xmlns:r="http://schemas.openxmlformats.org/officeDocument/2006/relationships" ref="K12" display="Ouvrir" r:id="rId11"/>
    <hyperlink xmlns:r="http://schemas.openxmlformats.org/officeDocument/2006/relationships" ref="K13" display="Ouvrir" r:id="rId12"/>
    <hyperlink xmlns:r="http://schemas.openxmlformats.org/officeDocument/2006/relationships" ref="K14" display="Ouvrir" r:id="rId13"/>
    <hyperlink xmlns:r="http://schemas.openxmlformats.org/officeDocument/2006/relationships" ref="K15" display="Ouvrir" r:id="rId14"/>
    <hyperlink xmlns:r="http://schemas.openxmlformats.org/officeDocument/2006/relationships" ref="K16" display="Ouvrir" r:id="rId15"/>
    <hyperlink xmlns:r="http://schemas.openxmlformats.org/officeDocument/2006/relationships" ref="K17" display="Ouvrir" r:id="rId16"/>
    <hyperlink xmlns:r="http://schemas.openxmlformats.org/officeDocument/2006/relationships" ref="K18" display="Ouvrir" r:id="rId17"/>
    <hyperlink xmlns:r="http://schemas.openxmlformats.org/officeDocument/2006/relationships" ref="K19" display="Ouvrir" r:id="rId18"/>
    <hyperlink xmlns:r="http://schemas.openxmlformats.org/officeDocument/2006/relationships" ref="K20" display="Ouvrir" r:id="rId19"/>
    <hyperlink xmlns:r="http://schemas.openxmlformats.org/officeDocument/2006/relationships" ref="K21" display="Ouvrir" r:id="rId20"/>
    <hyperlink xmlns:r="http://schemas.openxmlformats.org/officeDocument/2006/relationships" ref="K22" display="Ouvrir" r:id="rId21"/>
    <hyperlink xmlns:r="http://schemas.openxmlformats.org/officeDocument/2006/relationships" ref="K23" display="Ouvrir" r:id="rId22"/>
    <hyperlink xmlns:r="http://schemas.openxmlformats.org/officeDocument/2006/relationships" ref="K24" display="Ouvrir" r:id="rId23"/>
    <hyperlink xmlns:r="http://schemas.openxmlformats.org/officeDocument/2006/relationships" ref="K25" display="Ouvrir" r:id="rId24"/>
    <hyperlink xmlns:r="http://schemas.openxmlformats.org/officeDocument/2006/relationships" ref="K26" display="Ouvrir" r:id="rId25"/>
    <hyperlink xmlns:r="http://schemas.openxmlformats.org/officeDocument/2006/relationships" ref="K27" display="Ouvrir" r:id="rId26"/>
    <hyperlink xmlns:r="http://schemas.openxmlformats.org/officeDocument/2006/relationships" ref="K28" display="Ouvrir" r:id="rId27"/>
    <hyperlink xmlns:r="http://schemas.openxmlformats.org/officeDocument/2006/relationships" ref="K29" display="Ouvrir" r:id="rId28"/>
    <hyperlink xmlns:r="http://schemas.openxmlformats.org/officeDocument/2006/relationships" ref="K30" display="Ouvrir" r:id="rId29"/>
    <hyperlink xmlns:r="http://schemas.openxmlformats.org/officeDocument/2006/relationships" ref="K31" display="Ouvrir" r:id="rId30"/>
    <hyperlink xmlns:r="http://schemas.openxmlformats.org/officeDocument/2006/relationships" ref="K32" display="Ouvrir" r:id="rId31"/>
    <hyperlink xmlns:r="http://schemas.openxmlformats.org/officeDocument/2006/relationships" ref="K33" display="Ouvrir" r:id="rId32"/>
    <hyperlink xmlns:r="http://schemas.openxmlformats.org/officeDocument/2006/relationships" ref="K34" display="Ouvrir" r:id="rId33"/>
    <hyperlink xmlns:r="http://schemas.openxmlformats.org/officeDocument/2006/relationships" ref="K35" display="Ouvrir" r:id="rId34"/>
    <hyperlink xmlns:r="http://schemas.openxmlformats.org/officeDocument/2006/relationships" ref="K36" display="Ouvrir" r:id="rId35"/>
    <hyperlink xmlns:r="http://schemas.openxmlformats.org/officeDocument/2006/relationships" ref="K37" display="Ouvrir" r:id="rId36"/>
    <hyperlink xmlns:r="http://schemas.openxmlformats.org/officeDocument/2006/relationships" ref="K38" display="Ouvrir" r:id="rId37"/>
    <hyperlink xmlns:r="http://schemas.openxmlformats.org/officeDocument/2006/relationships" ref="K39" display="Ouvrir" r:id="rId38"/>
    <hyperlink xmlns:r="http://schemas.openxmlformats.org/officeDocument/2006/relationships" ref="K40" display="Ouvrir" r:id="rId39"/>
    <hyperlink xmlns:r="http://schemas.openxmlformats.org/officeDocument/2006/relationships" ref="K41" display="Ouvrir" r:id="rId40"/>
    <hyperlink xmlns:r="http://schemas.openxmlformats.org/officeDocument/2006/relationships" ref="K42" display="Ouvrir" r:id="rId41"/>
    <hyperlink xmlns:r="http://schemas.openxmlformats.org/officeDocument/2006/relationships" ref="K43" display="Ouvrir" r:id="rId42"/>
    <hyperlink xmlns:r="http://schemas.openxmlformats.org/officeDocument/2006/relationships" ref="K44" display="Ouvrir" r:id="rId43"/>
    <hyperlink xmlns:r="http://schemas.openxmlformats.org/officeDocument/2006/relationships" ref="K45" display="Ouvrir" r:id="rId44"/>
    <hyperlink xmlns:r="http://schemas.openxmlformats.org/officeDocument/2006/relationships" ref="K46" display="Ouvrir" r:id="rId45"/>
    <hyperlink xmlns:r="http://schemas.openxmlformats.org/officeDocument/2006/relationships" ref="K47" display="Ouvrir" r:id="rId46"/>
    <hyperlink xmlns:r="http://schemas.openxmlformats.org/officeDocument/2006/relationships" ref="K48" display="Ouvrir" r:id="rId47"/>
    <hyperlink xmlns:r="http://schemas.openxmlformats.org/officeDocument/2006/relationships" ref="K49" display="Ouvrir" r:id="rId48"/>
    <hyperlink xmlns:r="http://schemas.openxmlformats.org/officeDocument/2006/relationships" ref="K50" display="Ouvrir" r:id="rId49"/>
    <hyperlink xmlns:r="http://schemas.openxmlformats.org/officeDocument/2006/relationships" ref="K51" display="Ouvrir" r:id="rId50"/>
    <hyperlink xmlns:r="http://schemas.openxmlformats.org/officeDocument/2006/relationships" ref="K52" display="Ouvrir" r:id="rId51"/>
    <hyperlink xmlns:r="http://schemas.openxmlformats.org/officeDocument/2006/relationships" ref="K53" display="Ouvrir" r:id="rId52"/>
    <hyperlink xmlns:r="http://schemas.openxmlformats.org/officeDocument/2006/relationships" ref="K54" display="Ouvrir" r:id="rId53"/>
    <hyperlink xmlns:r="http://schemas.openxmlformats.org/officeDocument/2006/relationships" ref="K55" display="Ouvrir" r:id="rId54"/>
    <hyperlink xmlns:r="http://schemas.openxmlformats.org/officeDocument/2006/relationships" ref="K56" display="Ouvrir" r:id="rId55"/>
    <hyperlink xmlns:r="http://schemas.openxmlformats.org/officeDocument/2006/relationships" ref="K57" display="Ouvrir" r:id="rId56"/>
    <hyperlink xmlns:r="http://schemas.openxmlformats.org/officeDocument/2006/relationships" ref="K58" display="Ouvrir" r:id="rId57"/>
    <hyperlink xmlns:r="http://schemas.openxmlformats.org/officeDocument/2006/relationships" ref="K59" display="Ouvrir" r:id="rId58"/>
    <hyperlink xmlns:r="http://schemas.openxmlformats.org/officeDocument/2006/relationships" ref="K60" display="Ouvrir" r:id="rId59"/>
    <hyperlink xmlns:r="http://schemas.openxmlformats.org/officeDocument/2006/relationships" ref="K61" display="Ouvrir" r:id="rId60"/>
    <hyperlink xmlns:r="http://schemas.openxmlformats.org/officeDocument/2006/relationships" ref="K62" display="Ouvrir" r:id="rId61"/>
    <hyperlink xmlns:r="http://schemas.openxmlformats.org/officeDocument/2006/relationships" ref="K63" display="Ouvrir" r:id="rId62"/>
    <hyperlink xmlns:r="http://schemas.openxmlformats.org/officeDocument/2006/relationships" ref="K64" display="Ouvrir" r:id="rId63"/>
    <hyperlink xmlns:r="http://schemas.openxmlformats.org/officeDocument/2006/relationships" ref="K65" display="Ouvrir" r:id="rId64"/>
    <hyperlink xmlns:r="http://schemas.openxmlformats.org/officeDocument/2006/relationships" ref="K66" display="Ouvrir" r:id="rId65"/>
    <hyperlink xmlns:r="http://schemas.openxmlformats.org/officeDocument/2006/relationships" ref="K67" display="Ouvrir" r:id="rId66"/>
    <hyperlink xmlns:r="http://schemas.openxmlformats.org/officeDocument/2006/relationships" ref="K68" display="Ouvrir" r:id="rId67"/>
    <hyperlink xmlns:r="http://schemas.openxmlformats.org/officeDocument/2006/relationships" ref="K69" display="Ouvrir" r:id="rId68"/>
    <hyperlink xmlns:r="http://schemas.openxmlformats.org/officeDocument/2006/relationships" ref="K70" display="Ouvrir" r:id="rId69"/>
    <hyperlink xmlns:r="http://schemas.openxmlformats.org/officeDocument/2006/relationships" ref="K71" display="Ouvrir" r:id="rId70"/>
    <hyperlink xmlns:r="http://schemas.openxmlformats.org/officeDocument/2006/relationships" ref="K72" display="Ouvrir" r:id="rId71"/>
    <hyperlink xmlns:r="http://schemas.openxmlformats.org/officeDocument/2006/relationships" ref="K73" display="Ouvrir" r:id="rId72"/>
    <hyperlink xmlns:r="http://schemas.openxmlformats.org/officeDocument/2006/relationships" ref="K74" display="Ouvrir" r:id="rId73"/>
    <hyperlink xmlns:r="http://schemas.openxmlformats.org/officeDocument/2006/relationships" ref="K75" display="Ouvrir" r:id="rId74"/>
    <hyperlink xmlns:r="http://schemas.openxmlformats.org/officeDocument/2006/relationships" ref="K76" display="Ouvrir" r:id="rId75"/>
    <hyperlink xmlns:r="http://schemas.openxmlformats.org/officeDocument/2006/relationships" ref="K77" display="Ouvrir" r:id="rId76"/>
    <hyperlink xmlns:r="http://schemas.openxmlformats.org/officeDocument/2006/relationships" ref="K78" display="Ouvrir" r:id="rId77"/>
    <hyperlink xmlns:r="http://schemas.openxmlformats.org/officeDocument/2006/relationships" ref="K79" display="Ouvrir" r:id="rId78"/>
    <hyperlink xmlns:r="http://schemas.openxmlformats.org/officeDocument/2006/relationships" ref="K80" display="Ouvrir" r:id="rId79"/>
    <hyperlink xmlns:r="http://schemas.openxmlformats.org/officeDocument/2006/relationships" ref="K81" display="Ouvrir" r:id="rId80"/>
    <hyperlink xmlns:r="http://schemas.openxmlformats.org/officeDocument/2006/relationships" ref="K82" display="Ouvrir" r:id="rId81"/>
    <hyperlink xmlns:r="http://schemas.openxmlformats.org/officeDocument/2006/relationships" ref="K83" display="Ouvrir" r:id="rId82"/>
    <hyperlink xmlns:r="http://schemas.openxmlformats.org/officeDocument/2006/relationships" ref="K84" display="Ouvrir" r:id="rId83"/>
    <hyperlink xmlns:r="http://schemas.openxmlformats.org/officeDocument/2006/relationships" ref="K85" display="Ouvrir" r:id="rId84"/>
    <hyperlink xmlns:r="http://schemas.openxmlformats.org/officeDocument/2006/relationships" ref="K86" display="Ouvrir" r:id="rId85"/>
    <hyperlink xmlns:r="http://schemas.openxmlformats.org/officeDocument/2006/relationships" ref="K87" display="Ouvrir" r:id="rId86"/>
    <hyperlink xmlns:r="http://schemas.openxmlformats.org/officeDocument/2006/relationships" ref="K88" display="Ouvrir" r:id="rId87"/>
    <hyperlink xmlns:r="http://schemas.openxmlformats.org/officeDocument/2006/relationships" ref="K89" display="Ouvrir" r:id="rId88"/>
    <hyperlink xmlns:r="http://schemas.openxmlformats.org/officeDocument/2006/relationships" ref="K90" display="Ouvrir" r:id="rId89"/>
    <hyperlink xmlns:r="http://schemas.openxmlformats.org/officeDocument/2006/relationships" ref="K91" display="Ouvrir" r:id="rId90"/>
    <hyperlink xmlns:r="http://schemas.openxmlformats.org/officeDocument/2006/relationships" ref="K92" display="Ouvrir" r:id="rId91"/>
    <hyperlink xmlns:r="http://schemas.openxmlformats.org/officeDocument/2006/relationships" ref="K93" display="Ouvrir" r:id="rId92"/>
    <hyperlink xmlns:r="http://schemas.openxmlformats.org/officeDocument/2006/relationships" ref="K94" display="Ouvrir" r:id="rId93"/>
    <hyperlink xmlns:r="http://schemas.openxmlformats.org/officeDocument/2006/relationships" ref="K95" display="Ouvrir" r:id="rId94"/>
    <hyperlink xmlns:r="http://schemas.openxmlformats.org/officeDocument/2006/relationships" ref="K96" display="Ouvrir" r:id="rId95"/>
    <hyperlink xmlns:r="http://schemas.openxmlformats.org/officeDocument/2006/relationships" ref="K97" display="Ouvrir" r:id="rId96"/>
    <hyperlink xmlns:r="http://schemas.openxmlformats.org/officeDocument/2006/relationships" ref="K98" display="Ouvrir" r:id="rId97"/>
    <hyperlink xmlns:r="http://schemas.openxmlformats.org/officeDocument/2006/relationships" ref="K99" display="Ouvrir" r:id="rId98"/>
    <hyperlink xmlns:r="http://schemas.openxmlformats.org/officeDocument/2006/relationships" ref="K100" display="Ouvrir" r:id="rId99"/>
    <hyperlink xmlns:r="http://schemas.openxmlformats.org/officeDocument/2006/relationships" ref="K101" display="Ouvrir" r:id="rId100"/>
    <hyperlink xmlns:r="http://schemas.openxmlformats.org/officeDocument/2006/relationships" ref="K102" display="Ouvrir" r:id="rId101"/>
    <hyperlink xmlns:r="http://schemas.openxmlformats.org/officeDocument/2006/relationships" ref="K103" display="Ouvrir" r:id="rId102"/>
    <hyperlink xmlns:r="http://schemas.openxmlformats.org/officeDocument/2006/relationships" ref="K104" display="Ouvrir" r:id="rId103"/>
    <hyperlink xmlns:r="http://schemas.openxmlformats.org/officeDocument/2006/relationships" ref="K105" display="Ouvrir" r:id="rId104"/>
    <hyperlink xmlns:r="http://schemas.openxmlformats.org/officeDocument/2006/relationships" ref="K106" display="Ouvrir" r:id="rId105"/>
    <hyperlink xmlns:r="http://schemas.openxmlformats.org/officeDocument/2006/relationships" ref="K107" display="Ouvrir" r:id="rId106"/>
    <hyperlink xmlns:r="http://schemas.openxmlformats.org/officeDocument/2006/relationships" ref="K108" display="Ouvrir" r:id="rId107"/>
    <hyperlink xmlns:r="http://schemas.openxmlformats.org/officeDocument/2006/relationships" ref="K109" display="Ouvrir" r:id="rId108"/>
    <hyperlink xmlns:r="http://schemas.openxmlformats.org/officeDocument/2006/relationships" ref="K110" display="Ouvrir" r:id="rId109"/>
    <hyperlink xmlns:r="http://schemas.openxmlformats.org/officeDocument/2006/relationships" ref="K111" display="Ouvrir" r:id="rId110"/>
    <hyperlink xmlns:r="http://schemas.openxmlformats.org/officeDocument/2006/relationships" ref="K112" display="Ouvrir" r:id="rId111"/>
    <hyperlink xmlns:r="http://schemas.openxmlformats.org/officeDocument/2006/relationships" ref="K113" display="Ouvrir" r:id="rId112"/>
    <hyperlink xmlns:r="http://schemas.openxmlformats.org/officeDocument/2006/relationships" ref="K114" display="Ouvrir" r:id="rId113"/>
    <hyperlink xmlns:r="http://schemas.openxmlformats.org/officeDocument/2006/relationships" ref="K115" display="Ouvrir" r:id="rId114"/>
    <hyperlink xmlns:r="http://schemas.openxmlformats.org/officeDocument/2006/relationships" ref="K116" display="Ouvrir" r:id="rId115"/>
    <hyperlink xmlns:r="http://schemas.openxmlformats.org/officeDocument/2006/relationships" ref="K117" display="Ouvrir" r:id="rId116"/>
    <hyperlink xmlns:r="http://schemas.openxmlformats.org/officeDocument/2006/relationships" ref="K118" display="Ouvrir" r:id="rId117"/>
    <hyperlink xmlns:r="http://schemas.openxmlformats.org/officeDocument/2006/relationships" ref="K119" display="Ouvrir" r:id="rId118"/>
    <hyperlink xmlns:r="http://schemas.openxmlformats.org/officeDocument/2006/relationships" ref="K120" display="Ouvrir" r:id="rId119"/>
    <hyperlink xmlns:r="http://schemas.openxmlformats.org/officeDocument/2006/relationships" ref="K121" display="Ouvrir" r:id="rId120"/>
    <hyperlink xmlns:r="http://schemas.openxmlformats.org/officeDocument/2006/relationships" ref="K122" display="Ouvrir" r:id="rId121"/>
    <hyperlink xmlns:r="http://schemas.openxmlformats.org/officeDocument/2006/relationships" ref="K123" display="Ouvrir" r:id="rId122"/>
    <hyperlink xmlns:r="http://schemas.openxmlformats.org/officeDocument/2006/relationships" ref="K124" display="Ouvrir" r:id="rId123"/>
    <hyperlink xmlns:r="http://schemas.openxmlformats.org/officeDocument/2006/relationships" ref="K125" display="Ouvrir" r:id="rId124"/>
    <hyperlink xmlns:r="http://schemas.openxmlformats.org/officeDocument/2006/relationships" ref="K126" display="Ouvrir" r:id="rId125"/>
    <hyperlink xmlns:r="http://schemas.openxmlformats.org/officeDocument/2006/relationships" ref="K127" display="Ouvrir" r:id="rId126"/>
    <hyperlink xmlns:r="http://schemas.openxmlformats.org/officeDocument/2006/relationships" ref="K128" display="Ouvrir" r:id="rId127"/>
    <hyperlink xmlns:r="http://schemas.openxmlformats.org/officeDocument/2006/relationships" ref="K129" display="Ouvrir" r:id="rId128"/>
    <hyperlink xmlns:r="http://schemas.openxmlformats.org/officeDocument/2006/relationships" ref="K130" display="Ouvrir" r:id="rId129"/>
    <hyperlink xmlns:r="http://schemas.openxmlformats.org/officeDocument/2006/relationships" ref="K131" display="Ouvrir" r:id="rId130"/>
    <hyperlink xmlns:r="http://schemas.openxmlformats.org/officeDocument/2006/relationships" ref="K132" display="Ouvrir" r:id="rId131"/>
    <hyperlink xmlns:r="http://schemas.openxmlformats.org/officeDocument/2006/relationships" ref="K133" display="Ouvrir" r:id="rId132"/>
    <hyperlink xmlns:r="http://schemas.openxmlformats.org/officeDocument/2006/relationships" ref="K134" display="Ouvrir" r:id="rId133"/>
    <hyperlink xmlns:r="http://schemas.openxmlformats.org/officeDocument/2006/relationships" ref="K135" display="Ouvrir" r:id="rId134"/>
    <hyperlink xmlns:r="http://schemas.openxmlformats.org/officeDocument/2006/relationships" ref="K136" display="Ouvrir" r:id="rId135"/>
    <hyperlink xmlns:r="http://schemas.openxmlformats.org/officeDocument/2006/relationships" ref="K137" display="Ouvrir" r:id="rId136"/>
    <hyperlink xmlns:r="http://schemas.openxmlformats.org/officeDocument/2006/relationships" ref="K138" display="Ouvrir" r:id="rId137"/>
    <hyperlink xmlns:r="http://schemas.openxmlformats.org/officeDocument/2006/relationships" ref="K139" display="Ouvrir" r:id="rId138"/>
    <hyperlink xmlns:r="http://schemas.openxmlformats.org/officeDocument/2006/relationships" ref="K140" display="Ouvrir" r:id="rId139"/>
    <hyperlink xmlns:r="http://schemas.openxmlformats.org/officeDocument/2006/relationships" ref="K141" display="Ouvrir" r:id="rId140"/>
    <hyperlink xmlns:r="http://schemas.openxmlformats.org/officeDocument/2006/relationships" ref="K142" display="Ouvrir" r:id="rId141"/>
    <hyperlink xmlns:r="http://schemas.openxmlformats.org/officeDocument/2006/relationships" ref="K143" display="Ouvrir" r:id="rId142"/>
    <hyperlink xmlns:r="http://schemas.openxmlformats.org/officeDocument/2006/relationships" ref="K144" display="Ouvrir" r:id="rId143"/>
    <hyperlink xmlns:r="http://schemas.openxmlformats.org/officeDocument/2006/relationships" ref="K145" display="Ouvrir" r:id="rId144"/>
    <hyperlink xmlns:r="http://schemas.openxmlformats.org/officeDocument/2006/relationships" ref="K146" display="Ouvrir" r:id="rId145"/>
    <hyperlink xmlns:r="http://schemas.openxmlformats.org/officeDocument/2006/relationships" ref="K147" display="Ouvrir" r:id="rId146"/>
    <hyperlink xmlns:r="http://schemas.openxmlformats.org/officeDocument/2006/relationships" ref="K148" display="Ouvrir" r:id="rId147"/>
    <hyperlink xmlns:r="http://schemas.openxmlformats.org/officeDocument/2006/relationships" ref="K149" display="Ouvrir" r:id="rId148"/>
    <hyperlink xmlns:r="http://schemas.openxmlformats.org/officeDocument/2006/relationships" ref="K150" display="Ouvrir" r:id="rId149"/>
    <hyperlink xmlns:r="http://schemas.openxmlformats.org/officeDocument/2006/relationships" ref="K151" display="Ouvrir" r:id="rId150"/>
    <hyperlink xmlns:r="http://schemas.openxmlformats.org/officeDocument/2006/relationships" ref="K152" display="Ouvrir" r:id="rId151"/>
    <hyperlink xmlns:r="http://schemas.openxmlformats.org/officeDocument/2006/relationships" ref="K153" display="Ouvrir" r:id="rId152"/>
    <hyperlink xmlns:r="http://schemas.openxmlformats.org/officeDocument/2006/relationships" ref="K154" display="Ouvrir" r:id="rId153"/>
    <hyperlink xmlns:r="http://schemas.openxmlformats.org/officeDocument/2006/relationships" ref="K155" display="Ouvrir" r:id="rId154"/>
    <hyperlink xmlns:r="http://schemas.openxmlformats.org/officeDocument/2006/relationships" ref="K156" display="Ouvrir" r:id="rId155"/>
    <hyperlink xmlns:r="http://schemas.openxmlformats.org/officeDocument/2006/relationships" ref="K157" display="Ouvrir" r:id="rId156"/>
    <hyperlink xmlns:r="http://schemas.openxmlformats.org/officeDocument/2006/relationships" ref="K158" display="Ouvrir" r:id="rId157"/>
    <hyperlink xmlns:r="http://schemas.openxmlformats.org/officeDocument/2006/relationships" ref="K159" display="Ouvrir" r:id="rId158"/>
    <hyperlink xmlns:r="http://schemas.openxmlformats.org/officeDocument/2006/relationships" ref="K160" display="Ouvrir" r:id="rId159"/>
    <hyperlink xmlns:r="http://schemas.openxmlformats.org/officeDocument/2006/relationships" ref="K161" display="Ouvrir" r:id="rId160"/>
    <hyperlink xmlns:r="http://schemas.openxmlformats.org/officeDocument/2006/relationships" ref="K162" display="Ouvrir" r:id="rId161"/>
    <hyperlink xmlns:r="http://schemas.openxmlformats.org/officeDocument/2006/relationships" ref="K163" display="Ouvrir" r:id="rId162"/>
    <hyperlink xmlns:r="http://schemas.openxmlformats.org/officeDocument/2006/relationships" ref="K164" display="Ouvrir" r:id="rId163"/>
    <hyperlink xmlns:r="http://schemas.openxmlformats.org/officeDocument/2006/relationships" ref="K165" display="Ouvrir" r:id="rId164"/>
    <hyperlink xmlns:r="http://schemas.openxmlformats.org/officeDocument/2006/relationships" ref="K166" display="Ouvrir" r:id="rId165"/>
    <hyperlink xmlns:r="http://schemas.openxmlformats.org/officeDocument/2006/relationships" ref="K167" display="Ouvrir" r:id="rId166"/>
    <hyperlink xmlns:r="http://schemas.openxmlformats.org/officeDocument/2006/relationships" ref="K168" display="Ouvrir" r:id="rId167"/>
    <hyperlink xmlns:r="http://schemas.openxmlformats.org/officeDocument/2006/relationships" ref="K169" display="Ouvrir" r:id="rId168"/>
    <hyperlink xmlns:r="http://schemas.openxmlformats.org/officeDocument/2006/relationships" ref="K170" display="Ouvrir" r:id="rId169"/>
    <hyperlink xmlns:r="http://schemas.openxmlformats.org/officeDocument/2006/relationships" ref="K171" display="Ouvrir" r:id="rId170"/>
    <hyperlink xmlns:r="http://schemas.openxmlformats.org/officeDocument/2006/relationships" ref="K172" display="Ouvrir" r:id="rId171"/>
    <hyperlink xmlns:r="http://schemas.openxmlformats.org/officeDocument/2006/relationships" ref="K173" display="Ouvrir" r:id="rId172"/>
    <hyperlink xmlns:r="http://schemas.openxmlformats.org/officeDocument/2006/relationships" ref="K174" display="Ouvrir" r:id="rId173"/>
    <hyperlink xmlns:r="http://schemas.openxmlformats.org/officeDocument/2006/relationships" ref="K175" display="Ouvrir" r:id="rId174"/>
    <hyperlink xmlns:r="http://schemas.openxmlformats.org/officeDocument/2006/relationships" ref="K176" display="Ouvrir" r:id="rId175"/>
    <hyperlink xmlns:r="http://schemas.openxmlformats.org/officeDocument/2006/relationships" ref="K177" display="Ouvrir" r:id="rId176"/>
    <hyperlink xmlns:r="http://schemas.openxmlformats.org/officeDocument/2006/relationships" ref="K178" display="Ouvrir" r:id="rId177"/>
    <hyperlink xmlns:r="http://schemas.openxmlformats.org/officeDocument/2006/relationships" ref="K179" display="Ouvrir" r:id="rId178"/>
    <hyperlink xmlns:r="http://schemas.openxmlformats.org/officeDocument/2006/relationships" ref="K180" display="Ouvrir" r:id="rId179"/>
    <hyperlink xmlns:r="http://schemas.openxmlformats.org/officeDocument/2006/relationships" ref="K181" display="Ouvrir" r:id="rId180"/>
    <hyperlink xmlns:r="http://schemas.openxmlformats.org/officeDocument/2006/relationships" ref="K182" display="Ouvrir" r:id="rId181"/>
    <hyperlink xmlns:r="http://schemas.openxmlformats.org/officeDocument/2006/relationships" ref="K183" display="Ouvrir" r:id="rId182"/>
    <hyperlink xmlns:r="http://schemas.openxmlformats.org/officeDocument/2006/relationships" ref="K184" display="Ouvrir" r:id="rId183"/>
    <hyperlink xmlns:r="http://schemas.openxmlformats.org/officeDocument/2006/relationships" ref="K185" display="Ouvrir" r:id="rId184"/>
    <hyperlink xmlns:r="http://schemas.openxmlformats.org/officeDocument/2006/relationships" ref="K186" display="Ouvrir" r:id="rId185"/>
    <hyperlink xmlns:r="http://schemas.openxmlformats.org/officeDocument/2006/relationships" ref="K187" display="Ouvrir" r:id="rId186"/>
    <hyperlink xmlns:r="http://schemas.openxmlformats.org/officeDocument/2006/relationships" ref="K188" display="Ouvrir" r:id="rId187"/>
    <hyperlink xmlns:r="http://schemas.openxmlformats.org/officeDocument/2006/relationships" ref="K189" display="Ouvrir" r:id="rId188"/>
    <hyperlink xmlns:r="http://schemas.openxmlformats.org/officeDocument/2006/relationships" ref="K190" display="Ouvrir" r:id="rId189"/>
    <hyperlink xmlns:r="http://schemas.openxmlformats.org/officeDocument/2006/relationships" ref="K191" display="Ouvrir" r:id="rId190"/>
    <hyperlink xmlns:r="http://schemas.openxmlformats.org/officeDocument/2006/relationships" ref="K192" display="Ouvrir" r:id="rId191"/>
    <hyperlink xmlns:r="http://schemas.openxmlformats.org/officeDocument/2006/relationships" ref="K193" display="Ouvrir" r:id="rId192"/>
    <hyperlink xmlns:r="http://schemas.openxmlformats.org/officeDocument/2006/relationships" ref="K194" display="Ouvrir" r:id="rId193"/>
    <hyperlink xmlns:r="http://schemas.openxmlformats.org/officeDocument/2006/relationships" ref="K195" display="Ouvrir" r:id="rId194"/>
    <hyperlink xmlns:r="http://schemas.openxmlformats.org/officeDocument/2006/relationships" ref="K196" display="Ouvrir" r:id="rId195"/>
    <hyperlink xmlns:r="http://schemas.openxmlformats.org/officeDocument/2006/relationships" ref="K197" display="Ouvrir" r:id="rId196"/>
    <hyperlink xmlns:r="http://schemas.openxmlformats.org/officeDocument/2006/relationships" ref="K198" display="Ouvrir" r:id="rId197"/>
    <hyperlink xmlns:r="http://schemas.openxmlformats.org/officeDocument/2006/relationships" ref="K199" display="Ouvrir" r:id="rId198"/>
    <hyperlink xmlns:r="http://schemas.openxmlformats.org/officeDocument/2006/relationships" ref="K200" display="Ouvrir" r:id="rId199"/>
    <hyperlink xmlns:r="http://schemas.openxmlformats.org/officeDocument/2006/relationships" ref="K201" display="Ouvrir" r:id="rId200"/>
    <hyperlink xmlns:r="http://schemas.openxmlformats.org/officeDocument/2006/relationships" ref="K202" display="Ouvrir" r:id="rId201"/>
    <hyperlink xmlns:r="http://schemas.openxmlformats.org/officeDocument/2006/relationships" ref="K203" display="Ouvrir" r:id="rId202"/>
    <hyperlink xmlns:r="http://schemas.openxmlformats.org/officeDocument/2006/relationships" ref="K204" display="Ouvrir" r:id="rId203"/>
    <hyperlink xmlns:r="http://schemas.openxmlformats.org/officeDocument/2006/relationships" ref="K205" display="Ouvrir" r:id="rId204"/>
    <hyperlink xmlns:r="http://schemas.openxmlformats.org/officeDocument/2006/relationships" ref="K206" display="Ouvrir" r:id="rId205"/>
    <hyperlink xmlns:r="http://schemas.openxmlformats.org/officeDocument/2006/relationships" ref="K207" display="Ouvrir" r:id="rId206"/>
    <hyperlink xmlns:r="http://schemas.openxmlformats.org/officeDocument/2006/relationships" ref="K208" display="Ouvrir" r:id="rId207"/>
    <hyperlink xmlns:r="http://schemas.openxmlformats.org/officeDocument/2006/relationships" ref="K209" display="Ouvrir" r:id="rId208"/>
    <hyperlink xmlns:r="http://schemas.openxmlformats.org/officeDocument/2006/relationships" ref="K210" display="Ouvrir" r:id="rId209"/>
    <hyperlink xmlns:r="http://schemas.openxmlformats.org/officeDocument/2006/relationships" ref="K211" display="Ouvrir" r:id="rId210"/>
    <hyperlink xmlns:r="http://schemas.openxmlformats.org/officeDocument/2006/relationships" ref="K212" display="Ouvrir" r:id="rId211"/>
    <hyperlink xmlns:r="http://schemas.openxmlformats.org/officeDocument/2006/relationships" ref="K213" display="Ouvrir" r:id="rId212"/>
    <hyperlink xmlns:r="http://schemas.openxmlformats.org/officeDocument/2006/relationships" ref="K214" display="Ouvrir" r:id="rId213"/>
    <hyperlink xmlns:r="http://schemas.openxmlformats.org/officeDocument/2006/relationships" ref="K215" display="Ouvrir" r:id="rId214"/>
    <hyperlink xmlns:r="http://schemas.openxmlformats.org/officeDocument/2006/relationships" ref="K216" display="Ouvrir" r:id="rId215"/>
    <hyperlink xmlns:r="http://schemas.openxmlformats.org/officeDocument/2006/relationships" ref="K217" display="Ouvrir" r:id="rId216"/>
    <hyperlink xmlns:r="http://schemas.openxmlformats.org/officeDocument/2006/relationships" ref="K218" display="Ouvrir" r:id="rId2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style="26" min="1" max="1"/>
    <col width="12" customWidth="1" style="26" min="2" max="2"/>
    <col width="62" customWidth="1" style="26" min="3" max="3"/>
  </cols>
  <sheetData>
    <row r="1">
      <c r="A1" s="44" t="inlineStr">
        <is>
          <t>Répartition des angles</t>
        </is>
      </c>
    </row>
    <row r="3">
      <c r="A3" s="45" t="inlineStr">
        <is>
          <t>ANGLE</t>
        </is>
      </c>
      <c r="B3" s="25" t="inlineStr">
        <is>
          <t>CONTACTS</t>
        </is>
      </c>
      <c r="C3" s="46" t="inlineStr">
        <is>
          <t>CE QUE LE COURRIEL DOIT FAIRE</t>
        </is>
      </c>
    </row>
    <row r="4">
      <c r="A4" s="45" t="inlineStr">
        <is>
          <t>Angle A</t>
        </is>
      </c>
      <c r="B4" s="25" t="n">
        <v>34</v>
      </c>
      <c r="C4" s="46" t="inlineStr">
        <is>
          <t>Citer son article par titre et année dès la première phrase, puis dire ce qui a changé, y compris ce qui a mal tourné.</t>
        </is>
      </c>
    </row>
    <row r="5">
      <c r="A5" s="45" t="inlineStr">
        <is>
          <t>Angle B</t>
        </is>
      </c>
      <c r="B5" s="25" t="n">
        <v>35</v>
      </c>
      <c r="C5" s="46" t="inlineStr">
        <is>
          <t>Nommer la région dans l'objet. Un pupitre régional trie par toponyme.</t>
        </is>
      </c>
    </row>
    <row r="6">
      <c r="A6" s="45" t="inlineStr">
        <is>
          <t>Angle C</t>
        </is>
      </c>
      <c r="B6" s="25" t="n">
        <v>32</v>
      </c>
      <c r="C6" s="46" t="inlineStr">
        <is>
          <t>Poser la vraie question : y a-t-il enfin un acheteur stable au bout du champ. Ne rien promettre en volumes.</t>
        </is>
      </c>
    </row>
    <row r="7">
      <c r="A7" s="45" t="inlineStr">
        <is>
          <t>Angle D</t>
        </is>
      </c>
      <c r="B7" s="25" t="n">
        <v>45</v>
      </c>
      <c r="C7" s="46" t="inlineStr">
        <is>
          <t>Conservation par le débouché économique. Dire soi-même qu'un achat ne sauve pas un papillon.</t>
        </is>
      </c>
    </row>
    <row r="8">
      <c r="A8" s="45" t="inlineStr">
        <is>
          <t>Angle E</t>
        </is>
      </c>
      <c r="B8" s="25" t="n">
        <v>26</v>
      </c>
      <c r="C8" s="46" t="inlineStr">
        <is>
          <t>Rapatrier puis délocaliser en partie. Aucun chiffre financier sans autorisation de Gabriel.</t>
        </is>
      </c>
    </row>
    <row r="9">
      <c r="A9" s="45" t="inlineStr">
        <is>
          <t>Angle F</t>
        </is>
      </c>
      <c r="B9" s="25" t="n">
        <v>20</v>
      </c>
      <c r="C9" s="46" t="inlineStr">
        <is>
          <t>Offrir de tester. Le 10 % plus isolant que le duvet est un repère de laboratoire, jamais une promesse.</t>
        </is>
      </c>
    </row>
    <row r="10">
      <c r="A10" s="45" t="inlineStr">
        <is>
          <t>Angle G</t>
        </is>
      </c>
      <c r="B10" s="25" t="n">
        <v>21</v>
      </c>
      <c r="C10" s="46" t="inlineStr">
        <is>
          <t>Le contraste visuel : gousse, soie, manteau porté. Jamais « fabriqué au Québec » sur un produit fini.</t>
        </is>
      </c>
    </row>
    <row r="11">
      <c r="A11" s="47" t="inlineStr">
        <is>
          <t>Angle H</t>
        </is>
      </c>
      <c r="C11" s="46" t="inlineStr">
        <is>
          <t>Commencer par la plante, pas par le Québec. Lasclay arrive en troisième phrase.</t>
        </is>
      </c>
    </row>
    <row r="12">
      <c r="A12" s="45" t="inlineStr">
        <is>
          <t>Angle I</t>
        </is>
      </c>
      <c r="B12" s="25" t="n">
        <v>39</v>
      </c>
      <c r="C12" s="46" t="inlineStr">
        <is>
          <t>Trois lignes. Disponibilité en clair. Ils veulent un invité, pas un communiqué.</t>
        </is>
      </c>
    </row>
    <row r="13">
      <c r="A13" s="45" t="inlineStr">
        <is>
          <t>Angle J</t>
        </is>
      </c>
      <c r="B13" s="25" t="n">
        <v>2</v>
      </c>
      <c r="C13" s="46" t="inlineStr">
        <is>
          <t>Citer sa propre couverture de la filière, pas celle de Lasclay. Il connaît le dossier mieux que la moyenne : ne rien lui expliquer qu'il sait déjà.</t>
        </is>
      </c>
    </row>
    <row r="15">
      <c r="A15" s="44" t="inlineStr">
        <is>
          <t>Vagues du chiffrier</t>
        </is>
      </c>
    </row>
    <row r="17">
      <c r="A17" s="45" t="inlineStr">
        <is>
          <t>Maintenant → 2 sept.</t>
        </is>
      </c>
      <c r="B17" s="25" t="inlineStr">
        <is>
          <t>34</t>
        </is>
      </c>
      <c r="C17" s="46" t="inlineStr">
        <is>
          <t>Liste chaude. Écrits à la main, un par un. Angle A sauf exceptions.</t>
        </is>
      </c>
    </row>
    <row r="18">
      <c r="A18" s="45" t="inlineStr">
        <is>
          <t>3 → 5 sept.</t>
        </is>
      </c>
      <c r="B18" s="25" t="inlineStr">
        <is>
          <t>71</t>
        </is>
      </c>
      <c r="C18" s="46" t="inlineStr">
        <is>
          <t>Froide A. Environ 60 messages par jour, première ligne réellement différente.</t>
        </is>
      </c>
    </row>
    <row r="19">
      <c r="A19" s="45" t="inlineStr">
        <is>
          <t>8 → 9 sept.</t>
        </is>
      </c>
      <c r="B19" s="25" t="inlineStr">
        <is>
          <t>53</t>
        </is>
      </c>
      <c r="C19" s="46" t="inlineStr">
        <is>
          <t>Froide B.</t>
        </is>
      </c>
    </row>
    <row r="20">
      <c r="A20" s="45" t="inlineStr">
        <is>
          <t>12 sept., 9 h</t>
        </is>
      </c>
      <c r="B20" s="25" t="inlineStr">
        <is>
          <t>—</t>
        </is>
      </c>
      <c r="C20" s="46" t="inlineStr">
        <is>
          <t>Ouverture de la prévente. Klaviyo vers les clients, jamais vers ces listes.</t>
        </is>
      </c>
    </row>
    <row r="21">
      <c r="A21" s="45" t="inlineStr">
        <is>
          <t>15 → 16 sept.</t>
        </is>
      </c>
      <c r="B21" s="25" t="inlineStr">
        <is>
          <t>93</t>
        </is>
      </c>
      <c r="C21" s="46" t="inlineStr">
        <is>
          <t>Froide C, seulement s'il reste du souffle.</t>
        </is>
      </c>
    </row>
    <row r="22">
      <c r="A22" s="45" t="inlineStr">
        <is>
          <t>17 sept., 20 h</t>
        </is>
      </c>
      <c r="B22" s="25" t="inlineStr">
        <is>
          <t>—</t>
        </is>
      </c>
      <c r="C22" s="46" t="inlineStr">
        <is>
          <t>Diffusion. Relance le 18 au matin : la confidentialité tombe, le sujet devient vérifiable.</t>
        </is>
      </c>
    </row>
    <row r="24">
      <c r="A24" s="44" t="inlineStr">
        <is>
          <t>Règles d'envoi</t>
        </is>
      </c>
    </row>
    <row r="26">
      <c r="A26" s="47" t="inlineStr">
        <is>
          <t>Canal</t>
        </is>
      </c>
      <c r="C26" s="46" t="inlineStr">
        <is>
          <t>Missive depuis media@lasclay.com, un message à la fois. Jamais Klaviyo : des rebonds sur adresses froides dégraderaient mail.lasclay.com, le domaine qui doit livrer l'infolettre de prévente.</t>
        </is>
      </c>
    </row>
    <row r="27">
      <c r="A27" s="47" t="inlineStr">
        <is>
          <t>Suivi</t>
        </is>
      </c>
      <c r="C27" s="46" t="inlineStr">
        <is>
          <t>Désactiver le suivi des ouvertures et des clics. Le pixel n'apporte rien et plusieurs journalistes le voient mal.</t>
        </is>
      </c>
    </row>
    <row r="28">
      <c r="A28" s="47" t="inlineStr">
        <is>
          <t>Rythme</t>
        </is>
      </c>
      <c r="C28" s="46" t="inlineStr">
        <is>
          <t>Environ 60 par jour. 217 messages quasi identiques en dix minutes se comportent comme du publipostage aux yeux des filtres.</t>
        </is>
      </c>
    </row>
    <row r="29">
      <c r="A29" s="47" t="inlineStr">
        <is>
          <t>LCAP</t>
        </is>
      </c>
      <c r="C29" s="46" t="inlineStr">
        <is>
          <t>Sollicitation de presse ciblée vers une adresse professionnelle publiée : couvert. Les adresses personnelles de pigistes exigent un message vraiment individualisé.</t>
        </is>
      </c>
    </row>
    <row r="30">
      <c r="A30" s="47" t="inlineStr">
        <is>
          <t>Interdit</t>
        </is>
      </c>
      <c r="C30" s="46" t="inlineStr">
        <is>
          <t>Ajouter ces contacts à une liste de diffusion, leur envoyer une infolettre, ou écrire sans objet journalistique réel.</t>
        </is>
      </c>
    </row>
    <row r="31">
      <c r="A31" s="47" t="inlineStr">
        <is>
          <t>CBC</t>
        </is>
      </c>
      <c r="C31" s="46" t="inlineStr">
        <is>
          <t>Rien sur l'issue avant le 17. Aucun logo ni « vu à Dragons' Den ». alicia.chirrey@cbc.ca et kylee.habrowski@cbc.ca sont la production, pas la salle de nouvelles : ne pas les solliciter.</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D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6" customWidth="1" style="25" min="1" max="1"/>
    <col width="14" customWidth="1" style="25" min="2" max="4"/>
  </cols>
  <sheetData>
    <row r="1" ht="17.35" customHeight="1" s="26">
      <c r="A1" s="48" t="inlineStr">
        <is>
          <t>Sommaire et suivi</t>
        </is>
      </c>
    </row>
    <row r="2" ht="15" customHeight="1" s="26">
      <c r="A2" s="49" t="inlineStr">
        <is>
          <t>Les nombres se recalculent seuls à mesure que tu remplis la colonne « Envoyé le ».</t>
        </is>
      </c>
    </row>
    <row r="4" ht="15" customHeight="1" s="26">
      <c r="A4" s="50" t="inlineStr">
        <is>
          <t>LISTE</t>
        </is>
      </c>
      <c r="B4" s="50" t="inlineStr">
        <is>
          <t>CONTACTS</t>
        </is>
      </c>
      <c r="C4" s="50" t="inlineStr">
        <is>
          <t>ENVOYÉS</t>
        </is>
      </c>
      <c r="D4" s="50" t="inlineStr">
        <is>
          <t>RESTANTS</t>
        </is>
      </c>
    </row>
    <row r="5" ht="15" customHeight="1" s="26">
      <c r="A5" s="51" t="inlineStr">
        <is>
          <t>Chaude — vague 1</t>
        </is>
      </c>
      <c r="B5" s="51">
        <f>COUNTA('Liste chaude (34)'!C2:C35)</f>
        <v/>
      </c>
      <c r="C5" s="51">
        <f>COUNTA('Liste chaude (34)'!H2:H35)</f>
        <v/>
      </c>
      <c r="D5" s="51">
        <f>B5-C5</f>
        <v/>
      </c>
    </row>
    <row r="6" ht="15" customHeight="1" s="26">
      <c r="A6" s="51" t="inlineStr">
        <is>
          <t>Froide A — vague 2</t>
        </is>
      </c>
      <c r="B6" s="51">
        <f>COUNTIF('Liste froide FPJQ (217)'!A2:A218,"A")</f>
        <v/>
      </c>
      <c r="C6" s="51">
        <f>COUNTIFS('Liste froide FPJQ (217)'!A2:A218,"A",'Liste froide FPJQ (217)'!L2:L218,"&lt;&gt;")</f>
        <v/>
      </c>
      <c r="D6" s="51">
        <f>B6-C6</f>
        <v/>
      </c>
    </row>
    <row r="7" ht="15" customHeight="1" s="26">
      <c r="A7" s="51" t="inlineStr">
        <is>
          <t>Froide B — vague 3</t>
        </is>
      </c>
      <c r="B7" s="51">
        <f>COUNTIF('Liste froide FPJQ (217)'!A2:A218,"B")</f>
        <v/>
      </c>
      <c r="C7" s="51">
        <f>COUNTIFS('Liste froide FPJQ (217)'!A2:A218,"B",'Liste froide FPJQ (217)'!L2:L218,"&lt;&gt;")</f>
        <v/>
      </c>
      <c r="D7" s="51">
        <f>B7-C7</f>
        <v/>
      </c>
    </row>
    <row r="8" ht="15" customHeight="1" s="26">
      <c r="A8" s="51" t="inlineStr">
        <is>
          <t>Froide C — vague 4</t>
        </is>
      </c>
      <c r="B8" s="51">
        <f>COUNTIF('Liste froide FPJQ (217)'!A2:A218,"C")</f>
        <v/>
      </c>
      <c r="C8" s="51">
        <f>COUNTIFS('Liste froide FPJQ (217)'!A2:A218,"C",'Liste froide FPJQ (217)'!L2:L218,"&lt;&gt;")</f>
        <v/>
      </c>
      <c r="D8" s="51">
        <f>B8-C8</f>
        <v/>
      </c>
    </row>
    <row r="9" ht="15" customHeight="1" s="26">
      <c r="A9" s="52" t="inlineStr">
        <is>
          <t>TOTAL</t>
        </is>
      </c>
      <c r="B9" s="52">
        <f>SUM(B5:B8)</f>
        <v/>
      </c>
      <c r="C9" s="52">
        <f>SUM(C5:C8)</f>
        <v/>
      </c>
      <c r="D9" s="52">
        <f>SUM(D5:D8)</f>
        <v/>
      </c>
    </row>
    <row r="11" ht="15" customHeight="1" s="26">
      <c r="A11" s="53" t="inlineStr">
        <is>
          <t>Calendrier suggéré</t>
        </is>
      </c>
    </row>
    <row r="12" ht="15" customHeight="1" s="26">
      <c r="A12" s="54" t="inlineStr">
        <is>
          <t>Maintenant → 2 sept.</t>
        </is>
      </c>
      <c r="B12" s="55" t="inlineStr">
        <is>
          <t>Liste chaude (34) — message écrit à la main, un par un.</t>
        </is>
      </c>
    </row>
    <row r="13" ht="15" customHeight="1" s="26">
      <c r="A13" s="54" t="inlineStr">
        <is>
          <t>3 → 5 sept.</t>
        </is>
      </c>
      <c r="B13" s="55" t="inlineStr">
        <is>
          <t>Froide A (71) — les plus susceptibles de couvrir.</t>
        </is>
      </c>
    </row>
    <row r="14" ht="15" customHeight="1" s="26">
      <c r="A14" s="54" t="inlineStr">
        <is>
          <t>8 → 9 sept.</t>
        </is>
      </c>
      <c r="B14" s="55" t="inlineStr">
        <is>
          <t>Froide B (53).</t>
        </is>
      </c>
    </row>
    <row r="15" ht="15" customHeight="1" s="26">
      <c r="A15" s="54" t="inlineStr">
        <is>
          <t>12 sept., 9 h</t>
        </is>
      </c>
      <c r="B15" s="55" t="inlineStr">
        <is>
          <t>Ouverture de la prévente. Infolettre clients par Klaviyo, pas les médias.</t>
        </is>
      </c>
    </row>
    <row r="16" ht="15" customHeight="1" s="26">
      <c r="A16" s="54" t="inlineStr">
        <is>
          <t>15 → 16 sept.</t>
        </is>
      </c>
      <c r="B16" s="55" t="inlineStr">
        <is>
          <t>Froide C (93), seulement s'il reste du souffle.</t>
        </is>
      </c>
    </row>
    <row r="17" ht="15" customHeight="1" s="26">
      <c r="A17" s="54" t="inlineStr">
        <is>
          <t>17 sept., 20 h</t>
        </is>
      </c>
      <c r="B17" s="55" t="inlineStr">
        <is>
          <t>Diffusion Dragons' Den (CBC / CBC Gem). Relance le lendemain matin auprès de ceux qui ont répondu.</t>
        </is>
      </c>
    </row>
  </sheetData>
  <mergeCells count="6">
    <mergeCell ref="B14:D14"/>
    <mergeCell ref="B17:D17"/>
    <mergeCell ref="B13:D13"/>
    <mergeCell ref="B12:D12"/>
    <mergeCell ref="B15:D15"/>
    <mergeCell ref="B16:D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2026-08-31T17:37:19Z</dcterms:created>
  <dcterms:modified xsi:type="dcterms:W3CDTF">2026-08-31T18:50:50Z</dcterms:modified>
  <cp:revision>0</cp:revision>
</cp:coreProperties>
</file>