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ode d'emploi" sheetId="1" state="visible" r:id="rId1"/>
    <sheet name="Liste chaude (34)" sheetId="2" state="visible" r:id="rId2"/>
    <sheet name="Liste froide FPJQ (217)" sheetId="3" state="visible" r:id="rId3"/>
    <sheet name="Plan d'envoi" sheetId="4" state="visible" r:id="rId4"/>
    <sheet name="Sommaire" sheetId="5" state="visible" r:id="rId5"/>
  </sheets>
  <definedNames>
    <definedName name="_xlnm._FilterDatabase" localSheetId="1" hidden="1">'Liste chaude (34)'!$A$1:$J$35</definedName>
    <definedName name="_xlnm._FilterDatabase" localSheetId="2" hidden="1">'Liste froide FPJQ (217)'!$A$1:$N$218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B2C"/>
      <sz val="16"/>
    </font>
    <font>
      <name val="Arial"/>
      <charset val="1"/>
      <family val="0"/>
      <color rgb="FF555555"/>
      <sz val="10"/>
    </font>
    <font>
      <name val="Arial"/>
      <charset val="1"/>
      <family val="0"/>
      <b val="1"/>
      <color rgb="FF1F3B2C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B00020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color rgb="FF1F3B2C"/>
      <sz val="14"/>
    </font>
    <font>
      <b val="1"/>
      <sz val="10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F3B2C"/>
        <bgColor rgb="FF333300"/>
      </patternFill>
    </fill>
    <fill>
      <patternFill patternType="solid">
        <fgColor rgb="FFE8F1EA"/>
        <bgColor rgb="FFFFFFFF"/>
      </patternFill>
    </fill>
    <fill>
      <patternFill patternType="solid">
        <fgColor rgb="00E3EAD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/>
    </xf>
    <xf numFmtId="0" fontId="8" fillId="2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left" vertical="center" wrapText="1"/>
    </xf>
    <xf numFmtId="0" fontId="14" fillId="5" borderId="0" pivotButton="0" quotePrefix="0" xfId="0"/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/>
    </xf>
    <xf numFmtId="0" fontId="8" fillId="2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/>
    </xf>
    <xf numFmtId="0" fontId="12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0" fontId="15" fillId="0" borderId="0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B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00020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E8F1EA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1EA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Unknown Author</author>
  </authors>
  <commentList>
    <comment ref="G1" authorId="0" shapeId="0">
      <text>
        <t>« Correspondance confirmée » : le fil existe dans Missive, à la date indiquée.
« Non recoupée dans Missive » : adresse fournie par Gabriel, aucune trace dans la boîte LAS Media. Aucun test de rebond n'a été fait sur l'une ou l'autre.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A = 3 secteurs pertinents ou plus · B = 2 · C = 1.
Secteurs retenus : agriculture, environnement, économie, consommation, sciences, plein air, art de vivre, mode.</t>
      </text>
    </comment>
    <comment ref="E1" authorId="0" shapeId="0">
      <text>
        <t>« Pigiste » = aucune organisation principale déclarée au répertoire FPJQ. Ces contacts utilisent souvent une adresse personnelle : à réserver à un message vraiment individualisé.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pjq.org/fr/repertoire-des-membres/detail/id/impbp2gZR2jytCPaO6RczcNk" TargetMode="External" Id="rId1" /><Relationship Type="http://schemas.openxmlformats.org/officeDocument/2006/relationships/hyperlink" Target="https://www.fpjq.org/fr/repertoire-des-membres/detail/id/natGAVpy4EIELu792r16gUXp" TargetMode="External" Id="rId2" /><Relationship Type="http://schemas.openxmlformats.org/officeDocument/2006/relationships/hyperlink" Target="https://www.fpjq.org/fr/repertoire-des-membres/detail/id/nat8rqeH1mVM6i5GXyKgDg8D" TargetMode="External" Id="rId3" /><Relationship Type="http://schemas.openxmlformats.org/officeDocument/2006/relationships/hyperlink" Target="https://www.fpjq.org/fr/repertoire-des-membres/detail/id/nat2LGmoxdtpiD9x3DK7HOVj" TargetMode="External" Id="rId4" /><Relationship Type="http://schemas.openxmlformats.org/officeDocument/2006/relationships/hyperlink" Target="https://www.fpjq.org/fr/repertoire-des-membres/detail/id/imp5HMfV25XKxHj4DPG9h4mr" TargetMode="External" Id="rId5" /><Relationship Type="http://schemas.openxmlformats.org/officeDocument/2006/relationships/hyperlink" Target="https://www.fpjq.org/fr/repertoire-des-membres/detail/id/impnufXSzy8GOEUqzeKPcifU" TargetMode="External" Id="rId6" /><Relationship Type="http://schemas.openxmlformats.org/officeDocument/2006/relationships/hyperlink" Target="https://www.fpjq.org/fr/repertoire-des-membres/detail/id/impWnRA2X9QXXn9NbbkzY7yT" TargetMode="External" Id="rId7" /><Relationship Type="http://schemas.openxmlformats.org/officeDocument/2006/relationships/hyperlink" Target="https://www.fpjq.org/fr/repertoire-des-membres/detail/id/natD7SemLh5L0JwQkBND3Gre" TargetMode="External" Id="rId8" /><Relationship Type="http://schemas.openxmlformats.org/officeDocument/2006/relationships/hyperlink" Target="https://www.fpjq.org/fr/repertoire-des-membres/detail/id/impI041oh8mrkZrvsG9J5bt0" TargetMode="External" Id="rId9" /><Relationship Type="http://schemas.openxmlformats.org/officeDocument/2006/relationships/hyperlink" Target="https://www.fpjq.org/fr/repertoire-des-membres/detail/id/natbyqbw4i8kcpp8CJFKSOnI" TargetMode="External" Id="rId10" /><Relationship Type="http://schemas.openxmlformats.org/officeDocument/2006/relationships/hyperlink" Target="https://www.fpjq.org/fr/repertoire-des-membres/detail/id/natPhRurqggzkzOXrv0wZD0P" TargetMode="External" Id="rId11" /><Relationship Type="http://schemas.openxmlformats.org/officeDocument/2006/relationships/hyperlink" Target="https://www.fpjq.org/fr/repertoire-des-membres/detail/id/natRXAV3VqPBLWIRxNz0j2Dj" TargetMode="External" Id="rId12" /><Relationship Type="http://schemas.openxmlformats.org/officeDocument/2006/relationships/hyperlink" Target="https://www.fpjq.org/fr/repertoire-des-membres/detail/id/natR91tLLN2thqnS3t9uAjjU" TargetMode="External" Id="rId13" /><Relationship Type="http://schemas.openxmlformats.org/officeDocument/2006/relationships/hyperlink" Target="https://www.fpjq.org/fr/repertoire-des-membres/detail/id/natLTuW8wLtIvVvP0ts36OQf" TargetMode="External" Id="rId14" /><Relationship Type="http://schemas.openxmlformats.org/officeDocument/2006/relationships/hyperlink" Target="https://www.fpjq.org/fr/repertoire-des-membres/detail/id/natTccWa5uMGFrwK3HWU3RBU" TargetMode="External" Id="rId15" /><Relationship Type="http://schemas.openxmlformats.org/officeDocument/2006/relationships/hyperlink" Target="https://www.fpjq.org/fr/repertoire-des-membres/detail/id/impyfb2TevvJoqh2TN17NMSE" TargetMode="External" Id="rId16" /><Relationship Type="http://schemas.openxmlformats.org/officeDocument/2006/relationships/hyperlink" Target="https://www.fpjq.org/fr/repertoire-des-membres/detail/id/nat0y7gWXDTvNeG6HGiuQwJh" TargetMode="External" Id="rId17" /><Relationship Type="http://schemas.openxmlformats.org/officeDocument/2006/relationships/hyperlink" Target="https://www.fpjq.org/fr/repertoire-des-membres/detail/id/natGPwa706ihSKSQSw4MjSbf" TargetMode="External" Id="rId18" /><Relationship Type="http://schemas.openxmlformats.org/officeDocument/2006/relationships/hyperlink" Target="https://www.fpjq.org/fr/repertoire-des-membres/detail/id/impbbnsFq3CH67hI6N6VTOPB" TargetMode="External" Id="rId19" /><Relationship Type="http://schemas.openxmlformats.org/officeDocument/2006/relationships/hyperlink" Target="https://www.fpjq.org/fr/repertoire-des-membres/detail/id/natP4WsEwQNQQaR1Js1WBSYk" TargetMode="External" Id="rId20" /><Relationship Type="http://schemas.openxmlformats.org/officeDocument/2006/relationships/hyperlink" Target="https://www.fpjq.org/fr/repertoire-des-membres/detail/id/natuUnwjpAdD868MTC0IVe59" TargetMode="External" Id="rId21" /><Relationship Type="http://schemas.openxmlformats.org/officeDocument/2006/relationships/hyperlink" Target="https://www.fpjq.org/fr/repertoire-des-membres/detail/id/natNsZuNtja2zRjxtcBTfQKk" TargetMode="External" Id="rId22" /><Relationship Type="http://schemas.openxmlformats.org/officeDocument/2006/relationships/hyperlink" Target="https://www.fpjq.org/fr/repertoire-des-membres/detail/id/natTSfSrvQxJnbekda7iBz80" TargetMode="External" Id="rId23" /><Relationship Type="http://schemas.openxmlformats.org/officeDocument/2006/relationships/hyperlink" Target="https://www.fpjq.org/fr/repertoire-des-membres/detail/id/impD3wnRZ6KXw6KLb01d2qMx" TargetMode="External" Id="rId24" /><Relationship Type="http://schemas.openxmlformats.org/officeDocument/2006/relationships/hyperlink" Target="https://www.fpjq.org/fr/repertoire-des-membres/detail/id/impAX5b15602i3A3HvUcUK3I" TargetMode="External" Id="rId25" /><Relationship Type="http://schemas.openxmlformats.org/officeDocument/2006/relationships/hyperlink" Target="https://www.fpjq.org/fr/repertoire-des-membres/detail/id/impH8VMM5TJhpp7rPNh14voc" TargetMode="External" Id="rId26" /><Relationship Type="http://schemas.openxmlformats.org/officeDocument/2006/relationships/hyperlink" Target="https://www.fpjq.org/fr/repertoire-des-membres/detail/id/impo7Iwyc2qjGzckMKz7lRQO" TargetMode="External" Id="rId27" /><Relationship Type="http://schemas.openxmlformats.org/officeDocument/2006/relationships/hyperlink" Target="https://www.fpjq.org/fr/repertoire-des-membres/detail/id/imph7B1KPV5rMDbZqDxMTcbQ" TargetMode="External" Id="rId28" /><Relationship Type="http://schemas.openxmlformats.org/officeDocument/2006/relationships/hyperlink" Target="https://www.fpjq.org/fr/repertoire-des-membres/detail/id/natLIUdUU1PBO2OK6Lqg07rF" TargetMode="External" Id="rId29" /><Relationship Type="http://schemas.openxmlformats.org/officeDocument/2006/relationships/hyperlink" Target="https://www.fpjq.org/fr/repertoire-des-membres/detail/id/natIADcAyaDxfEe2JBukBFjM" TargetMode="External" Id="rId30" /><Relationship Type="http://schemas.openxmlformats.org/officeDocument/2006/relationships/hyperlink" Target="https://www.fpjq.org/fr/repertoire-des-membres/detail/id/imp2VhuHVlwxvgVQ0qTj42jh" TargetMode="External" Id="rId31" /><Relationship Type="http://schemas.openxmlformats.org/officeDocument/2006/relationships/hyperlink" Target="https://www.fpjq.org/fr/repertoire-des-membres/detail/id/natgdn9L16ScEEDY6MrWgO68" TargetMode="External" Id="rId32" /><Relationship Type="http://schemas.openxmlformats.org/officeDocument/2006/relationships/hyperlink" Target="https://www.fpjq.org/fr/repertoire-des-membres/detail/id/natyQdSh6Za1UnE6HeWMyoWK" TargetMode="External" Id="rId33" /><Relationship Type="http://schemas.openxmlformats.org/officeDocument/2006/relationships/hyperlink" Target="https://www.fpjq.org/fr/repertoire-des-membres/detail/id/natP7udFnAQaEhCvC12LmaJ4" TargetMode="External" Id="rId34" /><Relationship Type="http://schemas.openxmlformats.org/officeDocument/2006/relationships/hyperlink" Target="https://www.fpjq.org/fr/repertoire-des-membres/detail/id/impWlwGdZ3EAJYFDadyHWD2J" TargetMode="External" Id="rId35" /><Relationship Type="http://schemas.openxmlformats.org/officeDocument/2006/relationships/hyperlink" Target="https://www.fpjq.org/fr/repertoire-des-membres/detail/id/natXWz1CpeFjxEcI7HngCvmI" TargetMode="External" Id="rId36" /><Relationship Type="http://schemas.openxmlformats.org/officeDocument/2006/relationships/hyperlink" Target="https://www.fpjq.org/fr/repertoire-des-membres/detail/id/natD9mqtm4HhW4OMsHTjbYya" TargetMode="External" Id="rId37" /><Relationship Type="http://schemas.openxmlformats.org/officeDocument/2006/relationships/hyperlink" Target="https://www.fpjq.org/fr/repertoire-des-membres/detail/id/nat9lQKPTcITSVJVSTBMoXZy" TargetMode="External" Id="rId38" /><Relationship Type="http://schemas.openxmlformats.org/officeDocument/2006/relationships/hyperlink" Target="https://www.fpjq.org/fr/repertoire-des-membres/detail/id/impaOmh57rq4QL7hEbKykqtN" TargetMode="External" Id="rId39" /><Relationship Type="http://schemas.openxmlformats.org/officeDocument/2006/relationships/hyperlink" Target="https://www.fpjq.org/fr/repertoire-des-membres/detail/id/impgss9grPG5fPOz1gwLLQwA" TargetMode="External" Id="rId40" /><Relationship Type="http://schemas.openxmlformats.org/officeDocument/2006/relationships/hyperlink" Target="https://www.fpjq.org/fr/repertoire-des-membres/detail/id/impVP8hKYiZkLRJVLUZJenE4" TargetMode="External" Id="rId41" /><Relationship Type="http://schemas.openxmlformats.org/officeDocument/2006/relationships/hyperlink" Target="https://www.fpjq.org/fr/repertoire-des-membres/detail/id/impbyGaSWIslqlbLUFO87iUH" TargetMode="External" Id="rId42" /><Relationship Type="http://schemas.openxmlformats.org/officeDocument/2006/relationships/hyperlink" Target="https://www.fpjq.org/fr/repertoire-des-membres/detail/id/natxspTOyPHnoma99PMActAW" TargetMode="External" Id="rId43" /><Relationship Type="http://schemas.openxmlformats.org/officeDocument/2006/relationships/hyperlink" Target="https://www.fpjq.org/fr/repertoire-des-membres/detail/id/natGOh59FHGqFmwfHwKUFV3z" TargetMode="External" Id="rId44" /><Relationship Type="http://schemas.openxmlformats.org/officeDocument/2006/relationships/hyperlink" Target="https://www.fpjq.org/fr/repertoire-des-membres/detail/id/nat0b5yk8FoRMm8LBnQISiaY" TargetMode="External" Id="rId45" /><Relationship Type="http://schemas.openxmlformats.org/officeDocument/2006/relationships/hyperlink" Target="https://www.fpjq.org/fr/repertoire-des-membres/detail/id/natm68mZkmAc5pTuGxlvdzQJ" TargetMode="External" Id="rId46" /><Relationship Type="http://schemas.openxmlformats.org/officeDocument/2006/relationships/hyperlink" Target="https://www.fpjq.org/fr/repertoire-des-membres/detail/id/impbJAaZIlHKxxVon5ff8ZwT" TargetMode="External" Id="rId47" /><Relationship Type="http://schemas.openxmlformats.org/officeDocument/2006/relationships/hyperlink" Target="https://www.fpjq.org/fr/repertoire-des-membres/detail/id/nat5K7PrR00rvXeoXverk419" TargetMode="External" Id="rId48" /><Relationship Type="http://schemas.openxmlformats.org/officeDocument/2006/relationships/hyperlink" Target="https://www.fpjq.org/fr/repertoire-des-membres/detail/id/impuOLvNgjRRx5SltEWmwCCf" TargetMode="External" Id="rId49" /><Relationship Type="http://schemas.openxmlformats.org/officeDocument/2006/relationships/hyperlink" Target="https://www.fpjq.org/fr/repertoire-des-membres/detail/id/natBUbfohYcrCvaN3mCg72fN" TargetMode="External" Id="rId50" /><Relationship Type="http://schemas.openxmlformats.org/officeDocument/2006/relationships/hyperlink" Target="https://www.fpjq.org/fr/repertoire-des-membres/detail/id/natxQfCesnYhrXySKgFjuGYE" TargetMode="External" Id="rId51" /><Relationship Type="http://schemas.openxmlformats.org/officeDocument/2006/relationships/hyperlink" Target="https://www.fpjq.org/fr/repertoire-des-membres/detail/id/natFuKnkj90iByL2kj40YKE7" TargetMode="External" Id="rId52" /><Relationship Type="http://schemas.openxmlformats.org/officeDocument/2006/relationships/hyperlink" Target="https://www.fpjq.org/fr/repertoire-des-membres/detail/id/natPNjZ7NkM5pOj4GwxCwzFz" TargetMode="External" Id="rId53" /><Relationship Type="http://schemas.openxmlformats.org/officeDocument/2006/relationships/hyperlink" Target="https://www.fpjq.org/fr/repertoire-des-membres/detail/id/imp2OnmkAg2a3HKIsUV3XBp6" TargetMode="External" Id="rId54" /><Relationship Type="http://schemas.openxmlformats.org/officeDocument/2006/relationships/hyperlink" Target="https://www.fpjq.org/fr/repertoire-des-membres/detail/id/impbPJTV90g7Ar6zUpBkhN8u" TargetMode="External" Id="rId55" /><Relationship Type="http://schemas.openxmlformats.org/officeDocument/2006/relationships/hyperlink" Target="https://www.fpjq.org/fr/repertoire-des-membres/detail/id/natkxkuzL6MPgPtF367cEX69" TargetMode="External" Id="rId56" /><Relationship Type="http://schemas.openxmlformats.org/officeDocument/2006/relationships/hyperlink" Target="https://www.fpjq.org/fr/repertoire-des-membres/detail/id/natdgjQYTDT4egjTRIKI21PO" TargetMode="External" Id="rId57" /><Relationship Type="http://schemas.openxmlformats.org/officeDocument/2006/relationships/hyperlink" Target="https://www.fpjq.org/fr/repertoire-des-membres/detail/id/natZL2EDDqpH0l3yqHMvvJ3G" TargetMode="External" Id="rId58" /><Relationship Type="http://schemas.openxmlformats.org/officeDocument/2006/relationships/hyperlink" Target="https://www.fpjq.org/fr/repertoire-des-membres/detail/id/nat3ww5qX1IfV55WxZpKC88v" TargetMode="External" Id="rId59" /><Relationship Type="http://schemas.openxmlformats.org/officeDocument/2006/relationships/hyperlink" Target="https://www.fpjq.org/fr/repertoire-des-membres/detail/id/natC670N3KujcI7I8XtmragM" TargetMode="External" Id="rId60" /><Relationship Type="http://schemas.openxmlformats.org/officeDocument/2006/relationships/hyperlink" Target="https://www.fpjq.org/fr/repertoire-des-membres/detail/id/natXpw0vzTEqvqq7X60vB5Kq" TargetMode="External" Id="rId61" /><Relationship Type="http://schemas.openxmlformats.org/officeDocument/2006/relationships/hyperlink" Target="https://www.fpjq.org/fr/repertoire-des-membres/detail/id/impTsh3AA68BCQI19DeC1KEW" TargetMode="External" Id="rId62" /><Relationship Type="http://schemas.openxmlformats.org/officeDocument/2006/relationships/hyperlink" Target="https://www.fpjq.org/fr/repertoire-des-membres/detail/id/natH1yprrOj13wYESkm0QofE" TargetMode="External" Id="rId63" /><Relationship Type="http://schemas.openxmlformats.org/officeDocument/2006/relationships/hyperlink" Target="https://www.fpjq.org/fr/repertoire-des-membres/detail/id/impvuOSqKoBZXVJeugsAxidh" TargetMode="External" Id="rId64" /><Relationship Type="http://schemas.openxmlformats.org/officeDocument/2006/relationships/hyperlink" Target="https://www.fpjq.org/fr/repertoire-des-membres/detail/id/impkmvF6glOxdxnv7XNER7Fb" TargetMode="External" Id="rId65" /><Relationship Type="http://schemas.openxmlformats.org/officeDocument/2006/relationships/hyperlink" Target="https://www.fpjq.org/fr/repertoire-des-membres/detail/id/natuveyY1dLSS8ON1VJIyqB2" TargetMode="External" Id="rId66" /><Relationship Type="http://schemas.openxmlformats.org/officeDocument/2006/relationships/hyperlink" Target="https://www.fpjq.org/fr/repertoire-des-membres/detail/id/natkEehA14sBZIjLwHVXGeyD" TargetMode="External" Id="rId67" /><Relationship Type="http://schemas.openxmlformats.org/officeDocument/2006/relationships/hyperlink" Target="https://www.fpjq.org/fr/repertoire-des-membres/detail/id/nat6gRCxN0JtKRSa6EAZYfdg" TargetMode="External" Id="rId68" /><Relationship Type="http://schemas.openxmlformats.org/officeDocument/2006/relationships/hyperlink" Target="https://www.fpjq.org/fr/repertoire-des-membres/detail/id/impehYFtNuoM4LPg3nASeO7V" TargetMode="External" Id="rId69" /><Relationship Type="http://schemas.openxmlformats.org/officeDocument/2006/relationships/hyperlink" Target="https://www.fpjq.org/fr/repertoire-des-membres/detail/id/nat9zwgltNroRcaRdCJNPBMS" TargetMode="External" Id="rId70" /><Relationship Type="http://schemas.openxmlformats.org/officeDocument/2006/relationships/hyperlink" Target="https://www.fpjq.org/fr/repertoire-des-membres/detail/id/imp5KfiEtqkXHY5XsmSXcn13" TargetMode="External" Id="rId71" /><Relationship Type="http://schemas.openxmlformats.org/officeDocument/2006/relationships/hyperlink" Target="https://www.fpjq.org/fr/repertoire-des-membres/detail/id/natDRMpHGorbY7iAXYRAuNa6" TargetMode="External" Id="rId72" /><Relationship Type="http://schemas.openxmlformats.org/officeDocument/2006/relationships/hyperlink" Target="https://www.fpjq.org/fr/repertoire-des-membres/detail/id/imp7fnFHHswrQInG9WRowQ8B" TargetMode="External" Id="rId73" /><Relationship Type="http://schemas.openxmlformats.org/officeDocument/2006/relationships/hyperlink" Target="https://www.fpjq.org/fr/repertoire-des-membres/detail/id/nat4eKGbr2YRrvFOUfd5nsN3" TargetMode="External" Id="rId74" /><Relationship Type="http://schemas.openxmlformats.org/officeDocument/2006/relationships/hyperlink" Target="https://www.fpjq.org/fr/repertoire-des-membres/detail/id/natcI3MbwznxlLHuRwYk5btv" TargetMode="External" Id="rId75" /><Relationship Type="http://schemas.openxmlformats.org/officeDocument/2006/relationships/hyperlink" Target="https://www.fpjq.org/fr/repertoire-des-membres/detail/id/impdx2IxeFcD2zcZ9a7Fe85D" TargetMode="External" Id="rId76" /><Relationship Type="http://schemas.openxmlformats.org/officeDocument/2006/relationships/hyperlink" Target="https://www.fpjq.org/fr/repertoire-des-membres/detail/id/impQEaOeE7Vj3ple3N3rePqF" TargetMode="External" Id="rId77" /><Relationship Type="http://schemas.openxmlformats.org/officeDocument/2006/relationships/hyperlink" Target="https://www.fpjq.org/fr/repertoire-des-membres/detail/id/impUIY3B2NHD80D70lWYPzdG" TargetMode="External" Id="rId78" /><Relationship Type="http://schemas.openxmlformats.org/officeDocument/2006/relationships/hyperlink" Target="https://www.fpjq.org/fr/repertoire-des-membres/detail/id/impu5mwdxgrRCFM9Yx54aYII" TargetMode="External" Id="rId79" /><Relationship Type="http://schemas.openxmlformats.org/officeDocument/2006/relationships/hyperlink" Target="https://www.fpjq.org/fr/repertoire-des-membres/detail/id/impNOPzNMkAi9rSEDwUOPdE8" TargetMode="External" Id="rId80" /><Relationship Type="http://schemas.openxmlformats.org/officeDocument/2006/relationships/hyperlink" Target="https://www.fpjq.org/fr/repertoire-des-membres/detail/id/impXbjO4SNoN4vycMDpY7i0k" TargetMode="External" Id="rId81" /><Relationship Type="http://schemas.openxmlformats.org/officeDocument/2006/relationships/hyperlink" Target="https://www.fpjq.org/fr/repertoire-des-membres/detail/id/impKyWds70koqlOL0fOFisdO" TargetMode="External" Id="rId82" /><Relationship Type="http://schemas.openxmlformats.org/officeDocument/2006/relationships/hyperlink" Target="https://www.fpjq.org/fr/repertoire-des-membres/detail/id/impLGdVpefNgfmMJckcSMouL" TargetMode="External" Id="rId83" /><Relationship Type="http://schemas.openxmlformats.org/officeDocument/2006/relationships/hyperlink" Target="https://www.fpjq.org/fr/repertoire-des-membres/detail/id/impC1FMFo0fe1hvstxKmTAiC" TargetMode="External" Id="rId84" /><Relationship Type="http://schemas.openxmlformats.org/officeDocument/2006/relationships/hyperlink" Target="https://www.fpjq.org/fr/repertoire-des-membres/detail/id/impylPDE0wmzl4cRz4VHrSD1" TargetMode="External" Id="rId85" /><Relationship Type="http://schemas.openxmlformats.org/officeDocument/2006/relationships/hyperlink" Target="https://www.fpjq.org/fr/repertoire-des-membres/detail/id/impliirdn2UtmMheuORpIS0o" TargetMode="External" Id="rId86" /><Relationship Type="http://schemas.openxmlformats.org/officeDocument/2006/relationships/hyperlink" Target="https://www.fpjq.org/fr/repertoire-des-membres/detail/id/impYSUo0bOxvz1ytGNHviA2t" TargetMode="External" Id="rId87" /><Relationship Type="http://schemas.openxmlformats.org/officeDocument/2006/relationships/hyperlink" Target="https://www.fpjq.org/fr/repertoire-des-membres/detail/id/natg5bMAhcmFHVreIMSQH5RH" TargetMode="External" Id="rId88" /><Relationship Type="http://schemas.openxmlformats.org/officeDocument/2006/relationships/hyperlink" Target="https://www.fpjq.org/fr/repertoire-des-membres/detail/id/natndwRC2fRgL9c2IfvsEfLo" TargetMode="External" Id="rId89" /><Relationship Type="http://schemas.openxmlformats.org/officeDocument/2006/relationships/hyperlink" Target="https://www.fpjq.org/fr/repertoire-des-membres/detail/id/imppeWvGRUnIHZ11RGE6SEOX" TargetMode="External" Id="rId90" /><Relationship Type="http://schemas.openxmlformats.org/officeDocument/2006/relationships/hyperlink" Target="https://www.fpjq.org/fr/repertoire-des-membres/detail/id/nat6E2mgtMSLs2TL1u5UDqYV" TargetMode="External" Id="rId91" /><Relationship Type="http://schemas.openxmlformats.org/officeDocument/2006/relationships/hyperlink" Target="https://www.fpjq.org/fr/repertoire-des-membres/detail/id/impMFTb5WT1SMmdWzxYYfjt1" TargetMode="External" Id="rId92" /><Relationship Type="http://schemas.openxmlformats.org/officeDocument/2006/relationships/hyperlink" Target="https://www.fpjq.org/fr/repertoire-des-membres/detail/id/impxjcuhG7CcUCUH0OLxcdNv" TargetMode="External" Id="rId93" /><Relationship Type="http://schemas.openxmlformats.org/officeDocument/2006/relationships/hyperlink" Target="https://www.fpjq.org/fr/repertoire-des-membres/detail/id/impwBQFdvCIc74CuO82BzVnO" TargetMode="External" Id="rId94" /><Relationship Type="http://schemas.openxmlformats.org/officeDocument/2006/relationships/hyperlink" Target="https://www.fpjq.org/fr/repertoire-des-membres/detail/id/nat0k7uRulv8heKRHHnEnAsJ" TargetMode="External" Id="rId95" /><Relationship Type="http://schemas.openxmlformats.org/officeDocument/2006/relationships/hyperlink" Target="https://www.fpjq.org/fr/repertoire-des-membres/detail/id/natorNLV0Za64zN7mPW0kAdU" TargetMode="External" Id="rId96" /><Relationship Type="http://schemas.openxmlformats.org/officeDocument/2006/relationships/hyperlink" Target="https://www.fpjq.org/fr/repertoire-des-membres/detail/id/nat9JwxOIKroKtS7gjqih7FK" TargetMode="External" Id="rId97" /><Relationship Type="http://schemas.openxmlformats.org/officeDocument/2006/relationships/hyperlink" Target="https://www.fpjq.org/fr/repertoire-des-membres/detail/id/impz46U7KByQ7mUXTHGNWAhC" TargetMode="External" Id="rId98" /><Relationship Type="http://schemas.openxmlformats.org/officeDocument/2006/relationships/hyperlink" Target="https://www.fpjq.org/fr/repertoire-des-membres/detail/id/natmlJX1Oy4DNDV4Z5L338Mz" TargetMode="External" Id="rId99" /><Relationship Type="http://schemas.openxmlformats.org/officeDocument/2006/relationships/hyperlink" Target="https://www.fpjq.org/fr/repertoire-des-membres/detail/id/impIq17fFohYXjU589wuAn8H" TargetMode="External" Id="rId100" /><Relationship Type="http://schemas.openxmlformats.org/officeDocument/2006/relationships/hyperlink" Target="https://www.fpjq.org/fr/repertoire-des-membres/detail/id/impVev6fvkKxpoThS6BQDk91" TargetMode="External" Id="rId101" /><Relationship Type="http://schemas.openxmlformats.org/officeDocument/2006/relationships/hyperlink" Target="https://www.fpjq.org/fr/repertoire-des-membres/detail/id/natjXjX94bIunXzVWQkhzYn0" TargetMode="External" Id="rId102" /><Relationship Type="http://schemas.openxmlformats.org/officeDocument/2006/relationships/hyperlink" Target="https://www.fpjq.org/fr/repertoire-des-membres/detail/id/impdHF5RDnygWaRKZl6PrMvg" TargetMode="External" Id="rId103" /><Relationship Type="http://schemas.openxmlformats.org/officeDocument/2006/relationships/hyperlink" Target="https://www.fpjq.org/fr/repertoire-des-membres/detail/id/natCN0EwLI3wrxccsPi2SdFc" TargetMode="External" Id="rId104" /><Relationship Type="http://schemas.openxmlformats.org/officeDocument/2006/relationships/hyperlink" Target="https://www.fpjq.org/fr/repertoire-des-membres/detail/id/impITzXCxiBG6WUkI9mAfh7Z" TargetMode="External" Id="rId105" /><Relationship Type="http://schemas.openxmlformats.org/officeDocument/2006/relationships/hyperlink" Target="https://www.fpjq.org/fr/repertoire-des-membres/detail/id/impXDu5FIATNmu6dt7F3HR6N" TargetMode="External" Id="rId106" /><Relationship Type="http://schemas.openxmlformats.org/officeDocument/2006/relationships/hyperlink" Target="https://www.fpjq.org/fr/repertoire-des-membres/detail/id/impVm533HM0nIVVwNf2PvSkv" TargetMode="External" Id="rId107" /><Relationship Type="http://schemas.openxmlformats.org/officeDocument/2006/relationships/hyperlink" Target="https://www.fpjq.org/fr/repertoire-des-membres/detail/id/nat4I50uDZs1JOFdK2cD9B1x" TargetMode="External" Id="rId108" /><Relationship Type="http://schemas.openxmlformats.org/officeDocument/2006/relationships/hyperlink" Target="https://www.fpjq.org/fr/repertoire-des-membres/detail/id/impAXuZjN6Ef5CJPNxrbPAds" TargetMode="External" Id="rId109" /><Relationship Type="http://schemas.openxmlformats.org/officeDocument/2006/relationships/hyperlink" Target="https://www.fpjq.org/fr/repertoire-des-membres/detail/id/impxLzDoNYCNSTsDcN5QXEjO" TargetMode="External" Id="rId110" /><Relationship Type="http://schemas.openxmlformats.org/officeDocument/2006/relationships/hyperlink" Target="https://www.fpjq.org/fr/repertoire-des-membres/detail/id/imp3nptRihZtCykVgjikM50x" TargetMode="External" Id="rId111" /><Relationship Type="http://schemas.openxmlformats.org/officeDocument/2006/relationships/hyperlink" Target="https://www.fpjq.org/fr/repertoire-des-membres/detail/id/natLn51oVgPf2GO4JMoFWWNP" TargetMode="External" Id="rId112" /><Relationship Type="http://schemas.openxmlformats.org/officeDocument/2006/relationships/hyperlink" Target="https://www.fpjq.org/fr/repertoire-des-membres/detail/id/natDevDDScJTPFG44FGjTmzR" TargetMode="External" Id="rId113" /><Relationship Type="http://schemas.openxmlformats.org/officeDocument/2006/relationships/hyperlink" Target="https://www.fpjq.org/fr/repertoire-des-membres/detail/id/natpSovGgPNx445G4LboJnMx" TargetMode="External" Id="rId114" /><Relationship Type="http://schemas.openxmlformats.org/officeDocument/2006/relationships/hyperlink" Target="https://www.fpjq.org/fr/repertoire-des-membres/detail/id/natqK2G9lnL19rneWtibQJyQ" TargetMode="External" Id="rId115" /><Relationship Type="http://schemas.openxmlformats.org/officeDocument/2006/relationships/hyperlink" Target="https://www.fpjq.org/fr/repertoire-des-membres/detail/id/nat0Vk09fxHa1Jzh5AODqJFB" TargetMode="External" Id="rId116" /><Relationship Type="http://schemas.openxmlformats.org/officeDocument/2006/relationships/hyperlink" Target="https://www.fpjq.org/fr/repertoire-des-membres/detail/id/natsadIMvTRumfsWhYjRzAdV" TargetMode="External" Id="rId117" /><Relationship Type="http://schemas.openxmlformats.org/officeDocument/2006/relationships/hyperlink" Target="https://www.fpjq.org/fr/repertoire-des-membres/detail/id/nathlLEO0GsBcvYci7qggD8N" TargetMode="External" Id="rId118" /><Relationship Type="http://schemas.openxmlformats.org/officeDocument/2006/relationships/hyperlink" Target="https://www.fpjq.org/fr/repertoire-des-membres/detail/id/impNzQv3SXpb1BTbm8THSru5" TargetMode="External" Id="rId119" /><Relationship Type="http://schemas.openxmlformats.org/officeDocument/2006/relationships/hyperlink" Target="https://www.fpjq.org/fr/repertoire-des-membres/detail/id/impU64KxxpzxfGuokULaXT9S" TargetMode="External" Id="rId120" /><Relationship Type="http://schemas.openxmlformats.org/officeDocument/2006/relationships/hyperlink" Target="https://www.fpjq.org/fr/repertoire-des-membres/detail/id/impftcQJ3XGfRU5KG78nobCW" TargetMode="External" Id="rId121" /><Relationship Type="http://schemas.openxmlformats.org/officeDocument/2006/relationships/hyperlink" Target="https://www.fpjq.org/fr/repertoire-des-membres/detail/id/impAiV0uZb402MpIr8HAPYi7" TargetMode="External" Id="rId122" /><Relationship Type="http://schemas.openxmlformats.org/officeDocument/2006/relationships/hyperlink" Target="https://www.fpjq.org/fr/repertoire-des-membres/detail/id/imp0EnfZWIRBwn4zInjyCLTK" TargetMode="External" Id="rId123" /><Relationship Type="http://schemas.openxmlformats.org/officeDocument/2006/relationships/hyperlink" Target="https://www.fpjq.org/fr/repertoire-des-membres/detail/id/impQwrjb1GUFVZiv41GUJyR8" TargetMode="External" Id="rId124" /><Relationship Type="http://schemas.openxmlformats.org/officeDocument/2006/relationships/hyperlink" Target="https://www.fpjq.org/fr/repertoire-des-membres/detail/id/imp2A4vIbhAp4vDCDajvyauc" TargetMode="External" Id="rId125" /><Relationship Type="http://schemas.openxmlformats.org/officeDocument/2006/relationships/hyperlink" Target="https://www.fpjq.org/fr/repertoire-des-membres/detail/id/natLrlhccRb0VoEXOszCpviz" TargetMode="External" Id="rId126" /><Relationship Type="http://schemas.openxmlformats.org/officeDocument/2006/relationships/hyperlink" Target="https://www.fpjq.org/fr/repertoire-des-membres/detail/id/natOWHDIHW4yvdNgEpSoZZRi" TargetMode="External" Id="rId127" /><Relationship Type="http://schemas.openxmlformats.org/officeDocument/2006/relationships/hyperlink" Target="https://www.fpjq.org/fr/repertoire-des-membres/detail/id/impqshTIkmpbkRdYATQiOFJ2" TargetMode="External" Id="rId128" /><Relationship Type="http://schemas.openxmlformats.org/officeDocument/2006/relationships/hyperlink" Target="https://www.fpjq.org/fr/repertoire-des-membres/detail/id/natHOe2HkMpcHOEXVMWOhzEo" TargetMode="External" Id="rId129" /><Relationship Type="http://schemas.openxmlformats.org/officeDocument/2006/relationships/hyperlink" Target="https://www.fpjq.org/fr/repertoire-des-membres/detail/id/nat0DKWmbDMTnvYXH9xRzIVU" TargetMode="External" Id="rId130" /><Relationship Type="http://schemas.openxmlformats.org/officeDocument/2006/relationships/hyperlink" Target="https://www.fpjq.org/fr/repertoire-des-membres/detail/id/imp0UbwmHIeqQ2LAbLxjAfjL" TargetMode="External" Id="rId131" /><Relationship Type="http://schemas.openxmlformats.org/officeDocument/2006/relationships/hyperlink" Target="https://www.fpjq.org/fr/repertoire-des-membres/detail/id/impEMpA3b7yXy4t9kL4Y94Yr" TargetMode="External" Id="rId132" /><Relationship Type="http://schemas.openxmlformats.org/officeDocument/2006/relationships/hyperlink" Target="https://www.fpjq.org/fr/repertoire-des-membres/detail/id/impyq9ajTasQwErhwOVyTSZ7" TargetMode="External" Id="rId133" /><Relationship Type="http://schemas.openxmlformats.org/officeDocument/2006/relationships/hyperlink" Target="https://www.fpjq.org/fr/repertoire-des-membres/detail/id/impDv9aHRftsS39y4HOjWtqf" TargetMode="External" Id="rId134" /><Relationship Type="http://schemas.openxmlformats.org/officeDocument/2006/relationships/hyperlink" Target="https://www.fpjq.org/fr/repertoire-des-membres/detail/id/imp0TIvZPHPhfZTcLSfAQv5U" TargetMode="External" Id="rId135" /><Relationship Type="http://schemas.openxmlformats.org/officeDocument/2006/relationships/hyperlink" Target="https://www.fpjq.org/fr/repertoire-des-membres/detail/id/nat6VaE1epCNHLvtVjL9GeIL" TargetMode="External" Id="rId136" /><Relationship Type="http://schemas.openxmlformats.org/officeDocument/2006/relationships/hyperlink" Target="https://www.fpjq.org/fr/repertoire-des-membres/detail/id/natNDqQm6ARZKnPrljS0FNbr" TargetMode="External" Id="rId137" /><Relationship Type="http://schemas.openxmlformats.org/officeDocument/2006/relationships/hyperlink" Target="https://www.fpjq.org/fr/repertoire-des-membres/detail/id/impz26HTzqXQGymBUjwmDfV1" TargetMode="External" Id="rId138" /><Relationship Type="http://schemas.openxmlformats.org/officeDocument/2006/relationships/hyperlink" Target="https://www.fpjq.org/fr/repertoire-des-membres/detail/id/impX0FTRqgsIFjeh1nH1AUro" TargetMode="External" Id="rId139" /><Relationship Type="http://schemas.openxmlformats.org/officeDocument/2006/relationships/hyperlink" Target="https://www.fpjq.org/fr/repertoire-des-membres/detail/id/nat4PoguifAkdba4JD1k42Bb" TargetMode="External" Id="rId140" /><Relationship Type="http://schemas.openxmlformats.org/officeDocument/2006/relationships/hyperlink" Target="https://www.fpjq.org/fr/repertoire-des-membres/detail/id/natK71oT6xuNNTfbmz0hNxq7" TargetMode="External" Id="rId141" /><Relationship Type="http://schemas.openxmlformats.org/officeDocument/2006/relationships/hyperlink" Target="https://www.fpjq.org/fr/repertoire-des-membres/detail/id/impEktwD7xd4F9KRo6EdpBIU" TargetMode="External" Id="rId142" /><Relationship Type="http://schemas.openxmlformats.org/officeDocument/2006/relationships/hyperlink" Target="https://www.fpjq.org/fr/repertoire-des-membres/detail/id/natilRTMi7W9SGPpNftgRxab" TargetMode="External" Id="rId143" /><Relationship Type="http://schemas.openxmlformats.org/officeDocument/2006/relationships/hyperlink" Target="https://www.fpjq.org/fr/repertoire-des-membres/detail/id/natobF3zopAeeUw3A5R0WCDZ" TargetMode="External" Id="rId144" /><Relationship Type="http://schemas.openxmlformats.org/officeDocument/2006/relationships/hyperlink" Target="https://www.fpjq.org/fr/repertoire-des-membres/detail/id/natGEap3weOzIdL1lOQfOMQ4" TargetMode="External" Id="rId145" /><Relationship Type="http://schemas.openxmlformats.org/officeDocument/2006/relationships/hyperlink" Target="https://www.fpjq.org/fr/repertoire-des-membres/detail/id/nat7cXrm2Nt4sMxlNL1MiudC" TargetMode="External" Id="rId146" /><Relationship Type="http://schemas.openxmlformats.org/officeDocument/2006/relationships/hyperlink" Target="https://www.fpjq.org/fr/repertoire-des-membres/detail/id/impy1dvX2Oaj9ddpyIFI58eN" TargetMode="External" Id="rId147" /><Relationship Type="http://schemas.openxmlformats.org/officeDocument/2006/relationships/hyperlink" Target="https://www.fpjq.org/fr/repertoire-des-membres/detail/id/natJQtMrHWwPb8BpivV1CPmY" TargetMode="External" Id="rId148" /><Relationship Type="http://schemas.openxmlformats.org/officeDocument/2006/relationships/hyperlink" Target="https://www.fpjq.org/fr/repertoire-des-membres/detail/id/impZh6PmUdtdIIsNzcGnkFoK" TargetMode="External" Id="rId149" /><Relationship Type="http://schemas.openxmlformats.org/officeDocument/2006/relationships/hyperlink" Target="https://www.fpjq.org/fr/repertoire-des-membres/detail/id/imp4pyWRr69PVQgIxYeGl6BX" TargetMode="External" Id="rId150" /><Relationship Type="http://schemas.openxmlformats.org/officeDocument/2006/relationships/hyperlink" Target="https://www.fpjq.org/fr/repertoire-des-membres/detail/id/implAKYIC6yVlwSMfVJciWle" TargetMode="External" Id="rId151" /><Relationship Type="http://schemas.openxmlformats.org/officeDocument/2006/relationships/hyperlink" Target="https://www.fpjq.org/fr/repertoire-des-membres/detail/id/impRRyKMhV2axdZ6hQ1R4AVD" TargetMode="External" Id="rId152" /><Relationship Type="http://schemas.openxmlformats.org/officeDocument/2006/relationships/hyperlink" Target="https://www.fpjq.org/fr/repertoire-des-membres/detail/id/natuVDukhCK7CEiQ2hewtSkT" TargetMode="External" Id="rId153" /><Relationship Type="http://schemas.openxmlformats.org/officeDocument/2006/relationships/hyperlink" Target="https://www.fpjq.org/fr/repertoire-des-membres/detail/id/nateJg3GDlreBeNZIRDpWpcS" TargetMode="External" Id="rId154" /><Relationship Type="http://schemas.openxmlformats.org/officeDocument/2006/relationships/hyperlink" Target="https://www.fpjq.org/fr/repertoire-des-membres/detail/id/natOtBuRT2CSAQEF1F5clTqp" TargetMode="External" Id="rId155" /><Relationship Type="http://schemas.openxmlformats.org/officeDocument/2006/relationships/hyperlink" Target="https://www.fpjq.org/fr/repertoire-des-membres/detail/id/natEsaDl2IbHzFiPq373Bzae" TargetMode="External" Id="rId156" /><Relationship Type="http://schemas.openxmlformats.org/officeDocument/2006/relationships/hyperlink" Target="https://www.fpjq.org/fr/repertoire-des-membres/detail/id/natd69JVZ1r9PgG4ay8llyvI" TargetMode="External" Id="rId157" /><Relationship Type="http://schemas.openxmlformats.org/officeDocument/2006/relationships/hyperlink" Target="https://www.fpjq.org/fr/repertoire-des-membres/detail/id/imp7IPG6Bp5qUqZN7wExSPnX" TargetMode="External" Id="rId158" /><Relationship Type="http://schemas.openxmlformats.org/officeDocument/2006/relationships/hyperlink" Target="https://www.fpjq.org/fr/repertoire-des-membres/detail/id/natluxRSbyHw36BIOJJpzyZP" TargetMode="External" Id="rId159" /><Relationship Type="http://schemas.openxmlformats.org/officeDocument/2006/relationships/hyperlink" Target="https://www.fpjq.org/fr/repertoire-des-membres/detail/id/impM1cEdA4gsiGQxgTGGQxGH" TargetMode="External" Id="rId160" /><Relationship Type="http://schemas.openxmlformats.org/officeDocument/2006/relationships/hyperlink" Target="https://www.fpjq.org/fr/repertoire-des-membres/detail/id/impA87fq0FwIrvGAfeJXLOjX" TargetMode="External" Id="rId161" /><Relationship Type="http://schemas.openxmlformats.org/officeDocument/2006/relationships/hyperlink" Target="https://www.fpjq.org/fr/repertoire-des-membres/detail/id/natIyco6EZN4zPBhBav4ZIpW" TargetMode="External" Id="rId162" /><Relationship Type="http://schemas.openxmlformats.org/officeDocument/2006/relationships/hyperlink" Target="https://www.fpjq.org/fr/repertoire-des-membres/detail/id/impsBavyehB89YOsYvvykQ2l" TargetMode="External" Id="rId163" /><Relationship Type="http://schemas.openxmlformats.org/officeDocument/2006/relationships/hyperlink" Target="https://www.fpjq.org/fr/repertoire-des-membres/detail/id/impj62HFvLMnWvNQqssvN8Cn" TargetMode="External" Id="rId164" /><Relationship Type="http://schemas.openxmlformats.org/officeDocument/2006/relationships/hyperlink" Target="https://www.fpjq.org/fr/repertoire-des-membres/detail/id/natdCABdBrNYD9yzR2cnxNb9" TargetMode="External" Id="rId165" /><Relationship Type="http://schemas.openxmlformats.org/officeDocument/2006/relationships/hyperlink" Target="https://www.fpjq.org/fr/repertoire-des-membres/detail/id/impDPPAh0Pn1U5PvFYi3EMiG" TargetMode="External" Id="rId166" /><Relationship Type="http://schemas.openxmlformats.org/officeDocument/2006/relationships/hyperlink" Target="https://www.fpjq.org/fr/repertoire-des-membres/detail/id/natXZFHBBcs5fxgtLvUiGfKi" TargetMode="External" Id="rId167" /><Relationship Type="http://schemas.openxmlformats.org/officeDocument/2006/relationships/hyperlink" Target="https://www.fpjq.org/fr/repertoire-des-membres/detail/id/nateqSN18XC19MF2tfMYyLME" TargetMode="External" Id="rId168" /><Relationship Type="http://schemas.openxmlformats.org/officeDocument/2006/relationships/hyperlink" Target="https://www.fpjq.org/fr/repertoire-des-membres/detail/id/impsn3PGh8C9JnmvuZBfE3tl" TargetMode="External" Id="rId169" /><Relationship Type="http://schemas.openxmlformats.org/officeDocument/2006/relationships/hyperlink" Target="https://www.fpjq.org/fr/repertoire-des-membres/detail/id/natxBgOtx0NcxF07QobsehSX" TargetMode="External" Id="rId170" /><Relationship Type="http://schemas.openxmlformats.org/officeDocument/2006/relationships/hyperlink" Target="https://www.fpjq.org/fr/repertoire-des-membres/detail/id/impasMC15xwFCcHyodsjslhf" TargetMode="External" Id="rId171" /><Relationship Type="http://schemas.openxmlformats.org/officeDocument/2006/relationships/hyperlink" Target="https://www.fpjq.org/fr/repertoire-des-membres/detail/id/natro2p2Jvcd0wxK5FsIff7s" TargetMode="External" Id="rId172" /><Relationship Type="http://schemas.openxmlformats.org/officeDocument/2006/relationships/hyperlink" Target="https://www.fpjq.org/fr/repertoire-des-membres/detail/id/natWqvu0CIbRVDVniYXTHFtz" TargetMode="External" Id="rId173" /><Relationship Type="http://schemas.openxmlformats.org/officeDocument/2006/relationships/hyperlink" Target="https://www.fpjq.org/fr/repertoire-des-membres/detail/id/imprzT4KgK1kAOvFfRW5Nnri" TargetMode="External" Id="rId174" /><Relationship Type="http://schemas.openxmlformats.org/officeDocument/2006/relationships/hyperlink" Target="https://www.fpjq.org/fr/repertoire-des-membres/detail/id/natO0LVy3YbPCZLIavMDR3sv" TargetMode="External" Id="rId175" /><Relationship Type="http://schemas.openxmlformats.org/officeDocument/2006/relationships/hyperlink" Target="https://www.fpjq.org/fr/repertoire-des-membres/detail/id/impLI5IserLZ8fh6G4Y4tt3f" TargetMode="External" Id="rId176" /><Relationship Type="http://schemas.openxmlformats.org/officeDocument/2006/relationships/hyperlink" Target="https://www.fpjq.org/fr/repertoire-des-membres/detail/id/impSpYfXCYgxF0rwnQUX7rbg" TargetMode="External" Id="rId177" /><Relationship Type="http://schemas.openxmlformats.org/officeDocument/2006/relationships/hyperlink" Target="https://www.fpjq.org/fr/repertoire-des-membres/detail/id/impPn7PKYP71pd3JChOPcio5" TargetMode="External" Id="rId178" /><Relationship Type="http://schemas.openxmlformats.org/officeDocument/2006/relationships/hyperlink" Target="https://www.fpjq.org/fr/repertoire-des-membres/detail/id/nat2PTMLXaQ9gzI7ZM2qInGa" TargetMode="External" Id="rId179" /><Relationship Type="http://schemas.openxmlformats.org/officeDocument/2006/relationships/hyperlink" Target="https://www.fpjq.org/fr/repertoire-des-membres/detail/id/imp4k3CtHIS7f68QSKtwVS5h" TargetMode="External" Id="rId180" /><Relationship Type="http://schemas.openxmlformats.org/officeDocument/2006/relationships/hyperlink" Target="https://www.fpjq.org/fr/repertoire-des-membres/detail/id/natOlrkNvkCGKGc9CCFAFp2A" TargetMode="External" Id="rId181" /><Relationship Type="http://schemas.openxmlformats.org/officeDocument/2006/relationships/hyperlink" Target="https://www.fpjq.org/fr/repertoire-des-membres/detail/id/impfl9oy1vNIXw1xxkQIcHHw" TargetMode="External" Id="rId182" /><Relationship Type="http://schemas.openxmlformats.org/officeDocument/2006/relationships/hyperlink" Target="https://www.fpjq.org/fr/repertoire-des-membres/detail/id/natrjE9JT0hJwpbTPmxyfSpU" TargetMode="External" Id="rId183" /><Relationship Type="http://schemas.openxmlformats.org/officeDocument/2006/relationships/hyperlink" Target="https://www.fpjq.org/fr/repertoire-des-membres/detail/id/impO1DzqwUI1PqpBSdCCDSFO" TargetMode="External" Id="rId184" /><Relationship Type="http://schemas.openxmlformats.org/officeDocument/2006/relationships/hyperlink" Target="https://www.fpjq.org/fr/repertoire-des-membres/detail/id/natRQ0cABKP1IcXiL9rwwuAb" TargetMode="External" Id="rId185" /><Relationship Type="http://schemas.openxmlformats.org/officeDocument/2006/relationships/hyperlink" Target="https://www.fpjq.org/fr/repertoire-des-membres/detail/id/natYoUtId4pbf0NVpLLJj3WY" TargetMode="External" Id="rId186" /><Relationship Type="http://schemas.openxmlformats.org/officeDocument/2006/relationships/hyperlink" Target="https://www.fpjq.org/fr/repertoire-des-membres/detail/id/impYInsKUo5kJRiGBc4KiR8V" TargetMode="External" Id="rId187" /><Relationship Type="http://schemas.openxmlformats.org/officeDocument/2006/relationships/hyperlink" Target="https://www.fpjq.org/fr/repertoire-des-membres/detail/id/naticGTcMVEHzrRzDuLqmJ49" TargetMode="External" Id="rId188" /><Relationship Type="http://schemas.openxmlformats.org/officeDocument/2006/relationships/hyperlink" Target="https://www.fpjq.org/fr/repertoire-des-membres/detail/id/natAYr2IPYV6rnzebC87WTpE" TargetMode="External" Id="rId189" /><Relationship Type="http://schemas.openxmlformats.org/officeDocument/2006/relationships/hyperlink" Target="https://www.fpjq.org/fr/repertoire-des-membres/detail/id/imp2b7KA4MQdToh9gDbsATez" TargetMode="External" Id="rId190" /><Relationship Type="http://schemas.openxmlformats.org/officeDocument/2006/relationships/hyperlink" Target="https://www.fpjq.org/fr/repertoire-des-membres/detail/id/impU8PTHJrZuiGQZwo9vCam4" TargetMode="External" Id="rId191" /><Relationship Type="http://schemas.openxmlformats.org/officeDocument/2006/relationships/hyperlink" Target="https://www.fpjq.org/fr/repertoire-des-membres/detail/id/impnMkUmSroVKRTsfSI912HH" TargetMode="External" Id="rId192" /><Relationship Type="http://schemas.openxmlformats.org/officeDocument/2006/relationships/hyperlink" Target="https://www.fpjq.org/fr/repertoire-des-membres/detail/id/impueSLukbHGtGnKm6rX3fcv" TargetMode="External" Id="rId193" /><Relationship Type="http://schemas.openxmlformats.org/officeDocument/2006/relationships/hyperlink" Target="https://www.fpjq.org/fr/repertoire-des-membres/detail/id/natFCEN1s6nMt81mWduqVUVw" TargetMode="External" Id="rId194" /><Relationship Type="http://schemas.openxmlformats.org/officeDocument/2006/relationships/hyperlink" Target="https://www.fpjq.org/fr/repertoire-des-membres/detail/id/natctpKPY0jZkM1EEzTqhH0X" TargetMode="External" Id="rId195" /><Relationship Type="http://schemas.openxmlformats.org/officeDocument/2006/relationships/hyperlink" Target="https://www.fpjq.org/fr/repertoire-des-membres/detail/id/natAKIDp8WYMVNqOUtRrH9eA" TargetMode="External" Id="rId196" /><Relationship Type="http://schemas.openxmlformats.org/officeDocument/2006/relationships/hyperlink" Target="https://www.fpjq.org/fr/repertoire-des-membres/detail/id/natuIfqp094281bEgcKs8VyV" TargetMode="External" Id="rId197" /><Relationship Type="http://schemas.openxmlformats.org/officeDocument/2006/relationships/hyperlink" Target="https://www.fpjq.org/fr/repertoire-des-membres/detail/id/nat6PxYOzyjBSjlUhbsRkUj9" TargetMode="External" Id="rId198" /><Relationship Type="http://schemas.openxmlformats.org/officeDocument/2006/relationships/hyperlink" Target="https://www.fpjq.org/fr/repertoire-des-membres/detail/id/natnBrAlwNOxgs1yBbJWhSIm" TargetMode="External" Id="rId199" /><Relationship Type="http://schemas.openxmlformats.org/officeDocument/2006/relationships/hyperlink" Target="https://www.fpjq.org/fr/repertoire-des-membres/detail/id/impSGMadmDSy9J2BbXiFLR7Q" TargetMode="External" Id="rId200" /><Relationship Type="http://schemas.openxmlformats.org/officeDocument/2006/relationships/hyperlink" Target="https://www.fpjq.org/fr/repertoire-des-membres/detail/id/natTRMDkyDmLxRgeKrzuld3c" TargetMode="External" Id="rId201" /><Relationship Type="http://schemas.openxmlformats.org/officeDocument/2006/relationships/hyperlink" Target="https://www.fpjq.org/fr/repertoire-des-membres/detail/id/nat8GPfWuL6bwV13vEuiuBN9" TargetMode="External" Id="rId202" /><Relationship Type="http://schemas.openxmlformats.org/officeDocument/2006/relationships/hyperlink" Target="https://www.fpjq.org/fr/repertoire-des-membres/detail/id/impYdquWRRqReWti6sZwyYix" TargetMode="External" Id="rId203" /><Relationship Type="http://schemas.openxmlformats.org/officeDocument/2006/relationships/hyperlink" Target="https://www.fpjq.org/fr/repertoire-des-membres/detail/id/impUYrymlXc4KENPEmaI6o6r" TargetMode="External" Id="rId204" /><Relationship Type="http://schemas.openxmlformats.org/officeDocument/2006/relationships/hyperlink" Target="https://www.fpjq.org/fr/repertoire-des-membres/detail/id/natfsRaPF5VuiMCyNaVrShgQ" TargetMode="External" Id="rId205" /><Relationship Type="http://schemas.openxmlformats.org/officeDocument/2006/relationships/hyperlink" Target="https://www.fpjq.org/fr/repertoire-des-membres/detail/id/natuqYl0sOhjXxvoibmjtMpK" TargetMode="External" Id="rId206" /><Relationship Type="http://schemas.openxmlformats.org/officeDocument/2006/relationships/hyperlink" Target="https://www.fpjq.org/fr/repertoire-des-membres/detail/id/impe1KYr1J4jUnRfGPizKqig" TargetMode="External" Id="rId207" /><Relationship Type="http://schemas.openxmlformats.org/officeDocument/2006/relationships/hyperlink" Target="https://www.fpjq.org/fr/repertoire-des-membres/detail/id/impmkUBTGNHZSz5xoKBpvrkI" TargetMode="External" Id="rId208" /><Relationship Type="http://schemas.openxmlformats.org/officeDocument/2006/relationships/hyperlink" Target="https://www.fpjq.org/fr/repertoire-des-membres/detail/id/impBj3N98jzkDooQdVbrfvqe" TargetMode="External" Id="rId209" /><Relationship Type="http://schemas.openxmlformats.org/officeDocument/2006/relationships/hyperlink" Target="https://www.fpjq.org/fr/repertoire-des-membres/detail/id/impy1Z5WHeGUYIEJv1xj5ZbV" TargetMode="External" Id="rId210" /><Relationship Type="http://schemas.openxmlformats.org/officeDocument/2006/relationships/hyperlink" Target="https://www.fpjq.org/fr/repertoire-des-membres/detail/id/natRBjwapKy9nb0bjFUyrjjM" TargetMode="External" Id="rId211" /><Relationship Type="http://schemas.openxmlformats.org/officeDocument/2006/relationships/hyperlink" Target="https://www.fpjq.org/fr/repertoire-des-membres/detail/id/impnL0wiWwwG3blP603riYGf" TargetMode="External" Id="rId212" /><Relationship Type="http://schemas.openxmlformats.org/officeDocument/2006/relationships/hyperlink" Target="https://www.fpjq.org/fr/repertoire-des-membres/detail/id/nat5XIb2NayAu7IIWCMGMzKw" TargetMode="External" Id="rId213" /><Relationship Type="http://schemas.openxmlformats.org/officeDocument/2006/relationships/hyperlink" Target="https://www.fpjq.org/fr/repertoire-des-membres/detail/id/natxl8x7HG9U8o5YLUO1pSB1" TargetMode="External" Id="rId214" /><Relationship Type="http://schemas.openxmlformats.org/officeDocument/2006/relationships/hyperlink" Target="https://www.fpjq.org/fr/repertoire-des-membres/detail/id/natj4uZme01jEywYIv3mgzjf" TargetMode="External" Id="rId215" /><Relationship Type="http://schemas.openxmlformats.org/officeDocument/2006/relationships/hyperlink" Target="https://www.fpjq.org/fr/repertoire-des-membres/detail/id/impt5UoPXO4v5NMTELJY9G9M" TargetMode="External" Id="rId216" /><Relationship Type="http://schemas.openxmlformats.org/officeDocument/2006/relationships/hyperlink" Target="https://www.fpjq.org/fr/repertoire-des-membres/detail/id/natnVIgetEPXNnBvecdrQDzK" TargetMode="External" Id="rId217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6" customWidth="1" style="25" min="1" max="1"/>
    <col width="108" customWidth="1" style="25" min="2" max="2"/>
  </cols>
  <sheetData>
    <row r="1" ht="19.7" customHeight="1" s="26">
      <c r="A1" s="27" t="inlineStr">
        <is>
          <t>Listes médias Lasclay — prévente d'automne 2026 et Dragons' Den</t>
        </is>
      </c>
    </row>
    <row r="2" ht="15" customHeight="1" s="26">
      <c r="A2" s="28" t="inlineStr">
        <is>
          <t>Préparé le 31 août 2026. Diffusion TV : jeudi 17 septembre 2026, 20 h (CBC / CBC Gem). Prévente : samedi 12 septembre, 9 h HE.</t>
        </is>
      </c>
    </row>
    <row r="5" ht="15" customHeight="1" s="26">
      <c r="A5" s="29" t="inlineStr">
        <is>
          <t>LES DEUX ONGLETS</t>
        </is>
      </c>
    </row>
    <row r="6" ht="23.85" customHeight="1" s="26">
      <c r="A6" s="30" t="inlineStr">
        <is>
          <t>Liste chaude (28)</t>
        </is>
      </c>
      <c r="B6" s="31" t="inlineStr">
        <is>
          <t>Journalistes qui ont déjà écrit à Lasclay, extraits de 352 fils de la boîte LAS Media dans Missive. Ils te connaissent. C'est la vague 1, et chaque message doit être écrit à la main.</t>
        </is>
      </c>
    </row>
    <row r="7" ht="15" customHeight="1" s="26">
      <c r="A7" s="30" t="inlineStr">
        <is>
          <t>Liste froide FPJQ (217)</t>
        </is>
      </c>
      <c r="B7" s="31" t="inlineStr">
        <is>
          <t>Répertoire des membres de la FPJQ, filtré sur les secteurs pertinents. Aucun lien préalable avec Lasclay. Sollicitation de presse individuelle seulement.</t>
        </is>
      </c>
    </row>
    <row r="9" ht="15" customHeight="1" s="26">
      <c r="A9" s="29" t="inlineStr">
        <is>
          <t>COMMENT ENVOYER</t>
        </is>
      </c>
    </row>
    <row r="10" ht="15" customHeight="1" s="26">
      <c r="A10" s="30" t="inlineStr">
        <is>
          <t>Canal</t>
        </is>
      </c>
      <c r="B10" s="31" t="inlineStr">
        <is>
          <t>Missive, depuis media@lasclay.com. Un message à la fois, pas un publipostage.</t>
        </is>
      </c>
    </row>
    <row r="11" ht="23.85" customHeight="1" s="26">
      <c r="A11" s="30" t="inlineStr">
        <is>
          <t>Pas Klaviyo</t>
        </is>
      </c>
      <c r="B11" s="32" t="inlineStr">
        <is>
          <t>Ne jamais importer ces contacts dans Klaviyo. Un envoi de masse vers des adresses froides ferait grimper les rebonds et les plaintes, ce qui dégraderait mail.lasclay.com — le domaine qui doit livrer l'infolettre de prévente à tes vrais clients.</t>
        </is>
      </c>
    </row>
    <row r="12" ht="15" customHeight="1" s="26">
      <c r="A12" s="30" t="inlineStr">
        <is>
          <t>Réglages Missive</t>
        </is>
      </c>
      <c r="B12" s="31" t="inlineStr">
        <is>
          <t>Désactive le suivi des ouvertures et des clics pour ces envois. Le pixel n'apporte rien ici et certains journalistes le voient d'un mauvais œil.</t>
        </is>
      </c>
    </row>
    <row r="13" ht="23.85" customHeight="1" s="26">
      <c r="A13" s="30" t="inlineStr">
        <is>
          <t>Rythme</t>
        </is>
      </c>
      <c r="B13" s="31" t="inlineStr">
        <is>
          <t>Environ 60 messages par jour, avec une première ligne réellement différente pour chacun. 217 messages quasi identiques en dix minutes se comportent comme du publipostage aux yeux des filtres.</t>
        </is>
      </c>
    </row>
    <row r="15" ht="15" customHeight="1" s="26">
      <c r="A15" s="29" t="inlineStr">
        <is>
          <t>CADRE LÉGAL (LCAP)</t>
        </is>
      </c>
    </row>
    <row r="16" ht="15" customHeight="1" s="26">
      <c r="A16" s="30" t="inlineStr">
        <is>
          <t>Ce qui est permis</t>
        </is>
      </c>
      <c r="B16" s="31" t="inlineStr">
        <is>
          <t>La sollicitation de presse ciblée vers une adresse professionnelle publiée sans restriction d'usage est couverte. Le répertoire FPJQ est exactement ce cas.</t>
        </is>
      </c>
    </row>
    <row r="17" ht="23.85" customHeight="1" s="26">
      <c r="A17" s="30" t="inlineStr">
        <is>
          <t>Ce qui est plus fragile</t>
        </is>
      </c>
      <c r="B17" s="31" t="inlineStr">
        <is>
          <t>Les adresses personnelles de pigistes (gmail, hotmail, videotron, outlook). Elles sont marquées « Pigiste » dans la colonne Média. Réserve-les à un message vraiment individualisé.</t>
        </is>
      </c>
    </row>
    <row r="18" ht="15" customHeight="1" s="26">
      <c r="A18" s="30" t="inlineStr">
        <is>
          <t>Interdit</t>
        </is>
      </c>
      <c r="B18" s="31" t="inlineStr">
        <is>
          <t>Ajouter ces contacts à une liste de diffusion, leur envoyer une infolettre, ou leur écrire sans objet journalistique réel.</t>
        </is>
      </c>
    </row>
    <row r="20" ht="15" customHeight="1" s="26">
      <c r="A20" s="29" t="inlineStr">
        <is>
          <t>GARDE-FOUS DRAGONS' DEN</t>
        </is>
      </c>
    </row>
    <row r="21" ht="15" customHeight="1" s="26">
      <c r="A21" s="30" t="inlineStr">
        <is>
          <t>Marques</t>
        </is>
      </c>
      <c r="B21" s="31" t="inlineStr">
        <is>
          <t>Pas de logo CBC ni Dragons' Den, et pas la formule « vu à Dragons' Den », sans licence payée.</t>
        </is>
      </c>
    </row>
    <row r="22" ht="15" customHeight="1" s="26">
      <c r="A22" s="30" t="inlineStr">
        <is>
          <t>Résultat du pitch</t>
        </is>
      </c>
      <c r="B22" s="31" t="inlineStr">
        <is>
          <t>Ne jamais le révéler avant la diffusion du 17 septembre.</t>
        </is>
      </c>
    </row>
    <row r="23" ht="15" customHeight="1" s="26">
      <c r="A23" s="30" t="inlineStr">
        <is>
          <t>Production ≠ presse</t>
        </is>
      </c>
      <c r="B23" s="31" t="inlineStr">
        <is>
          <t>alicia.chirrey@cbc.ca et kylee.habrowski@cbc.ca sont l'équipe de production, pas la salle de nouvelles. Ils ne sont dans aucune des deux listes, volontairement.</t>
        </is>
      </c>
    </row>
    <row r="25" ht="15" customHeight="1" s="26">
      <c r="A25" s="29" t="inlineStr">
        <is>
          <t>COLONNES À REMPLIR</t>
        </is>
      </c>
      <c r="B25" s="33" t="n"/>
    </row>
    <row r="26" ht="15" customHeight="1" s="26">
      <c r="A26" s="30" t="inlineStr">
        <is>
          <t>Fond jaune</t>
        </is>
      </c>
      <c r="B26" s="31" t="inlineStr">
        <is>
          <t>Les colonnes Envoyé le, Réponse et Notes sont vides et te sont réservées. Tout le reste est de la donnée récoltée : n'y écris pas.</t>
        </is>
      </c>
    </row>
    <row r="27" ht="15" customHeight="1" s="26">
      <c r="A27" s="30" t="inlineStr">
        <is>
          <t>Exemple de saisie</t>
        </is>
      </c>
      <c r="B27" s="31" t="inlineStr">
        <is>
          <t>Envoyé le : 2026-09-02   |   Réponse : Oui – entrevue le 9 sept   |   Notes : veut des photos haute résolution du procédé</t>
        </is>
      </c>
    </row>
    <row r="29" ht="15" customHeight="1" s="26">
      <c r="A29" s="29" t="inlineStr">
        <is>
          <t>LIMITES CONNUES</t>
        </is>
      </c>
    </row>
    <row r="30" ht="23.85" customHeight="1" s="26">
      <c r="A30" s="30" t="inlineStr">
        <is>
          <t>Couverture FPJQ</t>
        </is>
      </c>
      <c r="B30" s="31" t="inlineStr">
        <is>
          <t>861 fiches uniques récoltées sur 1317, soit environ 65 %. La pagination du site réordonne les résultats à chaque appel et deux balayages complets n'ont pas donné le reste. La liste couvre les secteurs pertinents, mais elle n'est pas exhaustive.</t>
        </is>
      </c>
    </row>
    <row r="31" ht="23.85" customHeight="1" s="26">
      <c r="A31" s="30" t="inlineStr">
        <is>
          <t>Validité des adresses</t>
        </is>
      </c>
      <c r="B31" s="31" t="inlineStr">
        <is>
          <t>Aucun test de rebond n'a été fait — ça exigeait d'envoyer de vrais courriels. Les adresses FPJQ viennent du répertoire officiel ; celles de la liste chaude ont servi à une vraie correspondance, à la date indiquée.</t>
        </is>
      </c>
    </row>
    <row r="32" ht="23.85" customHeight="1" s="26">
      <c r="A32" s="30" t="inlineStr">
        <is>
          <t>Écartés</t>
        </is>
      </c>
      <c r="B32" s="31" t="inlineStr">
        <is>
          <t>8 fiches retirées : retraités ou étudiants (Isabelle Ferland, Gilles Munger, François Dallaire, Gilles Gougeon, Cedric Gallant, Michel Larose, Sylvain Poisson, Marie-Josée Boucher).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6" customWidth="1" style="25" min="1" max="1"/>
    <col width="22" customWidth="1" style="25" min="2" max="2"/>
    <col width="34" customWidth="1" style="25" min="3" max="3"/>
    <col width="15" customWidth="1" style="25" min="4" max="4"/>
    <col width="44" customWidth="1" style="25" min="5" max="5"/>
    <col width="26" customWidth="1" style="25" min="6" max="6"/>
    <col width="24" customWidth="1" style="25" min="7" max="7"/>
    <col width="13" customWidth="1" style="25" min="8" max="8"/>
    <col width="22" customWidth="1" style="25" min="9" max="9"/>
    <col width="34" customWidth="1" style="25" min="10" max="10"/>
  </cols>
  <sheetData>
    <row r="1" ht="27.75" customHeight="1" s="26">
      <c r="A1" s="34" t="inlineStr">
        <is>
          <t>Nom</t>
        </is>
      </c>
      <c r="B1" s="34" t="inlineStr">
        <is>
          <t>Média</t>
        </is>
      </c>
      <c r="C1" s="34" t="inlineStr">
        <is>
          <t>Courriel</t>
        </is>
      </c>
      <c r="D1" s="34" t="inlineStr">
        <is>
          <t>Dernier contact</t>
        </is>
      </c>
      <c r="E1" s="34" t="inlineStr">
        <is>
          <t>Sujet du dernier échange</t>
        </is>
      </c>
      <c r="F1" s="34" t="inlineStr">
        <is>
          <t>Source</t>
        </is>
      </c>
      <c r="G1" s="34" t="inlineStr">
        <is>
          <t>Fiabilité</t>
        </is>
      </c>
      <c r="H1" s="34" t="inlineStr">
        <is>
          <t>Envoyé le</t>
        </is>
      </c>
      <c r="I1" s="34" t="inlineStr">
        <is>
          <t>Réponse</t>
        </is>
      </c>
      <c r="J1" s="34" t="inlineStr">
        <is>
          <t>Notes</t>
        </is>
      </c>
      <c r="K1" s="35" t="inlineStr">
        <is>
          <t>Angle</t>
        </is>
      </c>
      <c r="L1" s="35" t="inlineStr">
        <is>
          <t>Objet suggéré</t>
        </is>
      </c>
      <c r="M1" s="35" t="inlineStr">
        <is>
          <t>Salutation</t>
        </is>
      </c>
    </row>
    <row r="2" ht="15" customHeight="1" s="26">
      <c r="A2" s="36" t="inlineStr">
        <is>
          <t>Sylvain Larocque</t>
        </is>
      </c>
      <c r="B2" s="36" t="inlineStr">
        <is>
          <t>Québecor Média</t>
        </is>
      </c>
      <c r="C2" s="36" t="inlineStr">
        <is>
          <t>sylvain.larocque@quebecormedia.com</t>
        </is>
      </c>
      <c r="D2" s="36" t="inlineStr">
        <is>
          <t>2026-05-26</t>
        </is>
      </c>
      <c r="E2" s="37" t="inlineStr">
        <is>
          <t>Transfert en Tunisie</t>
        </is>
      </c>
      <c r="F2" s="36" t="inlineStr">
        <is>
          <t>Missive — boîte LAS Media</t>
        </is>
      </c>
      <c r="G2" s="36" t="inlineStr">
        <is>
          <t>Correspondance confirmée</t>
        </is>
      </c>
      <c r="H2" s="38" t="n"/>
      <c r="I2" s="38" t="n"/>
      <c r="J2" s="39" t="n"/>
      <c r="K2" t="inlineStr">
        <is>
          <t>A</t>
        </is>
      </c>
      <c r="L2" t="inlineStr">
        <is>
          <t>Suite a votre article de 2026 sur l'asclepiade</t>
        </is>
      </c>
      <c r="M2" t="inlineStr">
        <is>
          <t>Bonjour Sylvain,</t>
        </is>
      </c>
    </row>
    <row r="3" ht="15" customHeight="1" s="26">
      <c r="A3" s="36" t="inlineStr">
        <is>
          <t>Stéphanie Bérubé</t>
        </is>
      </c>
      <c r="B3" s="36" t="inlineStr">
        <is>
          <t>La Presse</t>
        </is>
      </c>
      <c r="C3" s="36" t="inlineStr">
        <is>
          <t>sberube@lapresse.ca</t>
        </is>
      </c>
      <c r="D3" s="36" t="inlineStr">
        <is>
          <t>2026-02-23</t>
        </is>
      </c>
      <c r="E3" s="37" t="inlineStr">
        <is>
          <t>Article</t>
        </is>
      </c>
      <c r="F3" s="36" t="inlineStr">
        <is>
          <t>Missive — boîte LAS Media</t>
        </is>
      </c>
      <c r="G3" s="36" t="inlineStr">
        <is>
          <t>Correspondance confirmée</t>
        </is>
      </c>
      <c r="H3" s="38" t="n"/>
      <c r="I3" s="38" t="n"/>
      <c r="J3" s="39" t="n"/>
      <c r="K3" t="inlineStr">
        <is>
          <t>A</t>
        </is>
      </c>
      <c r="L3" t="inlineStr">
        <is>
          <t>Suite a votre article de 2026 sur l'asclepiade</t>
        </is>
      </c>
      <c r="M3" t="inlineStr">
        <is>
          <t>Bonjour Stéphanie,</t>
        </is>
      </c>
    </row>
    <row r="4" ht="15" customHeight="1" s="26">
      <c r="A4" s="36" t="inlineStr">
        <is>
          <t>Chloé Pouliot</t>
        </is>
      </c>
      <c r="B4" s="36" t="inlineStr">
        <is>
          <t>Le Soleil</t>
        </is>
      </c>
      <c r="C4" s="36" t="inlineStr">
        <is>
          <t>cpouliot@lesoleil.com</t>
        </is>
      </c>
      <c r="D4" s="36" t="inlineStr">
        <is>
          <t>2025-12-01</t>
        </is>
      </c>
      <c r="E4" s="37" t="inlineStr">
        <is>
          <t>Demande média / Le Soleil</t>
        </is>
      </c>
      <c r="F4" s="36" t="inlineStr">
        <is>
          <t>Missive — boîte LAS Media</t>
        </is>
      </c>
      <c r="G4" s="36" t="inlineStr">
        <is>
          <t>Correspondance confirmée</t>
        </is>
      </c>
      <c r="H4" s="38" t="n"/>
      <c r="I4" s="38" t="n"/>
      <c r="J4" s="39" t="n"/>
      <c r="K4" t="inlineStr">
        <is>
          <t>A</t>
        </is>
      </c>
      <c r="L4" t="inlineStr">
        <is>
          <t>Suite a votre article de 2025 sur l'asclepiade</t>
        </is>
      </c>
      <c r="M4" t="inlineStr">
        <is>
          <t>Bonjour Chloé,</t>
        </is>
      </c>
    </row>
    <row r="5" ht="15" customHeight="1" s="26">
      <c r="A5" s="36" t="inlineStr">
        <is>
          <t>Melissa Paquet</t>
        </is>
      </c>
      <c r="B5" s="36" t="inlineStr">
        <is>
          <t>TVA</t>
        </is>
      </c>
      <c r="C5" s="36" t="inlineStr">
        <is>
          <t>melissa.paquet@tva.ca</t>
        </is>
      </c>
      <c r="D5" s="36" t="inlineStr">
        <is>
          <t>2025-09-17</t>
        </is>
      </c>
      <c r="E5" s="37" t="inlineStr">
        <is>
          <t>Entrevue — Pleins feux sur Québec</t>
        </is>
      </c>
      <c r="F5" s="36" t="inlineStr">
        <is>
          <t>Missive — boîte LAS Media</t>
        </is>
      </c>
      <c r="G5" s="36" t="inlineStr">
        <is>
          <t>Correspondance confirmée</t>
        </is>
      </c>
      <c r="H5" s="38" t="n"/>
      <c r="I5" s="38" t="n"/>
      <c r="J5" s="39" t="n"/>
      <c r="K5" t="inlineStr">
        <is>
          <t>I</t>
        </is>
      </c>
      <c r="L5" t="inlineStr">
        <is>
          <t>Invite disponible : Lasclay a Dragons' Den le 17 septembre</t>
        </is>
      </c>
      <c r="M5" t="inlineStr">
        <is>
          <t>Bonjour Melissa,</t>
        </is>
      </c>
    </row>
    <row r="6" ht="15" customHeight="1" s="26">
      <c r="A6" s="36" t="inlineStr">
        <is>
          <t>Anne-Sophie Roy</t>
        </is>
      </c>
      <c r="B6" s="36" t="inlineStr">
        <is>
          <t>Radio-Canada</t>
        </is>
      </c>
      <c r="C6" s="36" t="inlineStr">
        <is>
          <t>anne-sophie.roy@radio-canada.ca</t>
        </is>
      </c>
      <c r="D6" s="36" t="inlineStr">
        <is>
          <t>2025-03-13</t>
        </is>
      </c>
      <c r="E6" s="37" t="inlineStr">
        <is>
          <t>Reportage dropshipping et fraude en ligne</t>
        </is>
      </c>
      <c r="F6" s="36" t="inlineStr">
        <is>
          <t>Missive — boîte LAS Media</t>
        </is>
      </c>
      <c r="G6" s="36" t="inlineStr">
        <is>
          <t>Correspondance confirmée</t>
        </is>
      </c>
      <c r="H6" s="38" t="n"/>
      <c r="I6" s="38" t="n"/>
      <c r="J6" s="39" t="n"/>
      <c r="K6" t="inlineStr">
        <is>
          <t>A</t>
        </is>
      </c>
      <c r="L6" t="inlineStr">
        <is>
          <t>Suite a votre article de 2025 sur l'asclepiade</t>
        </is>
      </c>
      <c r="M6" t="inlineStr">
        <is>
          <t>Bonjour Anne-Sophie,</t>
        </is>
      </c>
    </row>
    <row r="7" ht="15" customHeight="1" s="26">
      <c r="A7" s="36" t="inlineStr">
        <is>
          <t>Annie Lafrance</t>
        </is>
      </c>
      <c r="B7" s="36" t="inlineStr">
        <is>
          <t>Le Soleil</t>
        </is>
      </c>
      <c r="C7" s="36" t="inlineStr">
        <is>
          <t>alafrance@lesoleil.com</t>
        </is>
      </c>
      <c r="D7" s="36" t="inlineStr">
        <is>
          <t>2024-03-06</t>
        </is>
      </c>
      <c r="E7" s="37" t="inlineStr">
        <is>
          <t>Section Affaires</t>
        </is>
      </c>
      <c r="F7" s="36" t="inlineStr">
        <is>
          <t>Missive — boîte LAS Media</t>
        </is>
      </c>
      <c r="G7" s="36" t="inlineStr">
        <is>
          <t>Correspondance confirmée</t>
        </is>
      </c>
      <c r="H7" s="38" t="n"/>
      <c r="I7" s="38" t="n"/>
      <c r="J7" s="39" t="n"/>
      <c r="K7" t="inlineStr">
        <is>
          <t>A</t>
        </is>
      </c>
      <c r="L7" t="inlineStr">
        <is>
          <t>Suite a votre article de 2024 sur l'asclepiade</t>
        </is>
      </c>
      <c r="M7" t="inlineStr">
        <is>
          <t>Bonjour Annie,</t>
        </is>
      </c>
    </row>
    <row r="8" ht="15" customHeight="1" s="26">
      <c r="A8" s="36" t="inlineStr">
        <is>
          <t>Marie Tison</t>
        </is>
      </c>
      <c r="B8" s="36" t="inlineStr">
        <is>
          <t>La Presse</t>
        </is>
      </c>
      <c r="C8" s="36" t="inlineStr">
        <is>
          <t>mtison@lapresse.ca</t>
        </is>
      </c>
      <c r="D8" s="36" t="inlineStr">
        <is>
          <t>2023-11-29</t>
        </is>
      </c>
      <c r="E8" s="37" t="inlineStr">
        <is>
          <t>La Presse</t>
        </is>
      </c>
      <c r="F8" s="36" t="inlineStr">
        <is>
          <t>Missive — boîte LAS Media</t>
        </is>
      </c>
      <c r="G8" s="36" t="inlineStr">
        <is>
          <t>Correspondance confirmée</t>
        </is>
      </c>
      <c r="H8" s="38" t="n"/>
      <c r="I8" s="38" t="n"/>
      <c r="J8" s="39" t="n"/>
      <c r="K8" t="inlineStr">
        <is>
          <t>A</t>
        </is>
      </c>
      <c r="L8" t="inlineStr">
        <is>
          <t>Suite a votre article de 2023 sur l'asclepiade</t>
        </is>
      </c>
      <c r="M8" t="inlineStr">
        <is>
          <t>Bonjour Marie,</t>
        </is>
      </c>
    </row>
    <row r="9" ht="15" customHeight="1" s="26">
      <c r="A9" s="36" t="inlineStr">
        <is>
          <t>Sylvie Lacombe</t>
        </is>
      </c>
      <c r="B9" s="36" t="inlineStr">
        <is>
          <t>TVA</t>
        </is>
      </c>
      <c r="C9" s="36" t="inlineStr">
        <is>
          <t>sylvie.lacombe@tva.ca</t>
        </is>
      </c>
      <c r="D9" s="36" t="inlineStr">
        <is>
          <t>2023-11-24</t>
        </is>
      </c>
      <c r="E9" s="37" t="inlineStr">
        <is>
          <t>Suivi de précommande Lasclay</t>
        </is>
      </c>
      <c r="F9" s="36" t="inlineStr">
        <is>
          <t>Missive — boîte LAS Media</t>
        </is>
      </c>
      <c r="G9" s="36" t="inlineStr">
        <is>
          <t>Correspondance confirmée</t>
        </is>
      </c>
      <c r="H9" s="38" t="n"/>
      <c r="I9" s="38" t="n"/>
      <c r="J9" s="39" t="n"/>
      <c r="K9" t="inlineStr">
        <is>
          <t>I</t>
        </is>
      </c>
      <c r="L9" t="inlineStr">
        <is>
          <t>Invite disponible : Lasclay a Dragons' Den le 17 septembre</t>
        </is>
      </c>
      <c r="M9" t="inlineStr">
        <is>
          <t>Bonjour Sylvie,</t>
        </is>
      </c>
    </row>
    <row r="10" ht="15" customHeight="1" s="26">
      <c r="A10" s="36" t="inlineStr">
        <is>
          <t>Hélène Roulot-Ganzmann</t>
        </is>
      </c>
      <c r="B10" s="36" t="inlineStr">
        <is>
          <t>Le Devoir</t>
        </is>
      </c>
      <c r="C10" s="36" t="inlineStr">
        <is>
          <t>hrganzmann@ledevoir.com</t>
        </is>
      </c>
      <c r="D10" s="36" t="inlineStr">
        <is>
          <t>2023-11-23</t>
        </is>
      </c>
      <c r="E10" s="37" t="inlineStr">
        <is>
          <t>Demande de produits</t>
        </is>
      </c>
      <c r="F10" s="36" t="inlineStr">
        <is>
          <t>Missive — boîte LAS Media</t>
        </is>
      </c>
      <c r="G10" s="36" t="inlineStr">
        <is>
          <t>Correspondance confirmée</t>
        </is>
      </c>
      <c r="H10" s="38" t="n"/>
      <c r="I10" s="38" t="n"/>
      <c r="J10" s="39" t="n"/>
      <c r="K10" t="inlineStr">
        <is>
          <t>A</t>
        </is>
      </c>
      <c r="L10" t="inlineStr">
        <is>
          <t>Suite a votre article de 2023 sur l'asclepiade</t>
        </is>
      </c>
      <c r="M10" t="inlineStr">
        <is>
          <t>Bonjour Hélène,</t>
        </is>
      </c>
    </row>
    <row r="11" ht="15" customHeight="1" s="26">
      <c r="A11" s="36" t="inlineStr">
        <is>
          <t>Marie-Soleil Brault</t>
        </is>
      </c>
      <c r="B11" s="36" t="inlineStr">
        <is>
          <t>Le Soleil</t>
        </is>
      </c>
      <c r="C11" s="36" t="inlineStr">
        <is>
          <t>msbrault@lesoleil.com</t>
        </is>
      </c>
      <c r="D11" s="36" t="inlineStr">
        <is>
          <t>2023-01-30</t>
        </is>
      </c>
      <c r="E11" s="37" t="inlineStr">
        <is>
          <t>Article Le Soleil</t>
        </is>
      </c>
      <c r="F11" s="36" t="inlineStr">
        <is>
          <t>Missive — boîte LAS Media</t>
        </is>
      </c>
      <c r="G11" s="36" t="inlineStr">
        <is>
          <t>Correspondance confirmée</t>
        </is>
      </c>
      <c r="H11" s="38" t="n"/>
      <c r="I11" s="38" t="n"/>
      <c r="J11" s="39" t="n"/>
      <c r="K11" t="inlineStr">
        <is>
          <t>A</t>
        </is>
      </c>
      <c r="L11" t="inlineStr">
        <is>
          <t>Suite a votre article de 2023 sur l'asclepiade</t>
        </is>
      </c>
      <c r="M11" t="inlineStr">
        <is>
          <t>Bonjour Marie-Soleil,</t>
        </is>
      </c>
    </row>
    <row r="12" ht="15" customHeight="1" s="26">
      <c r="A12" s="36" t="inlineStr">
        <is>
          <t>Sandra Fillion</t>
        </is>
      </c>
      <c r="B12" s="36" t="inlineStr">
        <is>
          <t>Radio-Canada</t>
        </is>
      </c>
      <c r="C12" s="36" t="inlineStr">
        <is>
          <t>sandra.fillion@radio-canada.ca</t>
        </is>
      </c>
      <c r="D12" s="36" t="inlineStr">
        <is>
          <t>2023-01-05</t>
        </is>
      </c>
      <c r="E12" s="37" t="inlineStr">
        <is>
          <t>Asclépiade</t>
        </is>
      </c>
      <c r="F12" s="36" t="inlineStr">
        <is>
          <t>Missive — boîte LAS Media</t>
        </is>
      </c>
      <c r="G12" s="36" t="inlineStr">
        <is>
          <t>Correspondance confirmée</t>
        </is>
      </c>
      <c r="H12" s="38" t="n"/>
      <c r="I12" s="38" t="n"/>
      <c r="J12" s="39" t="n"/>
      <c r="K12" t="inlineStr">
        <is>
          <t>A</t>
        </is>
      </c>
      <c r="L12" t="inlineStr">
        <is>
          <t>Suite a votre article de 2023 sur l'asclepiade</t>
        </is>
      </c>
      <c r="M12" t="inlineStr">
        <is>
          <t>Bonjour Sandra,</t>
        </is>
      </c>
    </row>
    <row r="13" ht="15" customHeight="1" s="26">
      <c r="A13" s="36" t="inlineStr">
        <is>
          <t>Ariane Aubert Bonn</t>
        </is>
      </c>
      <c r="B13" s="36" t="inlineStr">
        <is>
          <t>La Tribune</t>
        </is>
      </c>
      <c r="C13" s="36" t="inlineStr">
        <is>
          <t>aabonn@latribune.qc.ca</t>
        </is>
      </c>
      <c r="D13" s="36" t="inlineStr">
        <is>
          <t>2022-11-30</t>
        </is>
      </c>
      <c r="E13" s="37" t="inlineStr">
        <is>
          <t>Nouveaux produits d'asclépiade</t>
        </is>
      </c>
      <c r="F13" s="36" t="inlineStr">
        <is>
          <t>Missive — boîte LAS Media</t>
        </is>
      </c>
      <c r="G13" s="36" t="inlineStr">
        <is>
          <t>Correspondance confirmée</t>
        </is>
      </c>
      <c r="H13" s="38" t="n"/>
      <c r="I13" s="38" t="n"/>
      <c r="J13" s="39" t="n"/>
      <c r="K13" t="inlineStr">
        <is>
          <t>A</t>
        </is>
      </c>
      <c r="L13" t="inlineStr">
        <is>
          <t>Suite a votre article de 2022 sur l'asclepiade</t>
        </is>
      </c>
      <c r="M13" t="inlineStr">
        <is>
          <t>Bonjour Ariane,</t>
        </is>
      </c>
    </row>
    <row r="14" ht="15" customHeight="1" s="26">
      <c r="A14" s="36" t="inlineStr">
        <is>
          <t>Eugénie Émond</t>
        </is>
      </c>
      <c r="B14" s="36" t="inlineStr">
        <is>
          <t>Radio-Canada</t>
        </is>
      </c>
      <c r="C14" s="36" t="inlineStr">
        <is>
          <t>eugenie.emond@radio-canada.ca</t>
        </is>
      </c>
      <c r="D14" s="36" t="inlineStr">
        <is>
          <t>2022-09-01</t>
        </is>
      </c>
      <c r="E14" s="37" t="inlineStr">
        <is>
          <t>Entrevue — glacière d'asclépiade imprimée 3D</t>
        </is>
      </c>
      <c r="F14" s="36" t="inlineStr">
        <is>
          <t>Missive — boîte LAS Media</t>
        </is>
      </c>
      <c r="G14" s="36" t="inlineStr">
        <is>
          <t>Correspondance confirmée</t>
        </is>
      </c>
      <c r="H14" s="38" t="n"/>
      <c r="I14" s="38" t="n"/>
      <c r="J14" s="39" t="n"/>
      <c r="K14" t="inlineStr">
        <is>
          <t>A</t>
        </is>
      </c>
      <c r="L14" t="inlineStr">
        <is>
          <t>Suite a votre article de 2022 sur l'asclepiade</t>
        </is>
      </c>
      <c r="M14" t="inlineStr">
        <is>
          <t>Bonjour Eugénie,</t>
        </is>
      </c>
    </row>
    <row r="15" ht="15" customHeight="1" s="26">
      <c r="A15" s="36" t="inlineStr">
        <is>
          <t>Rhéane Portelance</t>
        </is>
      </c>
      <c r="B15" s="36" t="inlineStr">
        <is>
          <t>Le Devoir</t>
        </is>
      </c>
      <c r="C15" s="36" t="inlineStr">
        <is>
          <t>rportelance@ledevoir.com</t>
        </is>
      </c>
      <c r="D15" s="36" t="inlineStr">
        <is>
          <t>2022-07-26</t>
        </is>
      </c>
      <c r="E15" s="37" t="inlineStr">
        <is>
          <t>Cahier spécial Action climatique</t>
        </is>
      </c>
      <c r="F15" s="36" t="inlineStr">
        <is>
          <t>Missive — boîte LAS Media</t>
        </is>
      </c>
      <c r="G15" s="36" t="inlineStr">
        <is>
          <t>Correspondance confirmée</t>
        </is>
      </c>
      <c r="H15" s="38" t="n"/>
      <c r="I15" s="38" t="n"/>
      <c r="J15" s="39" t="n"/>
      <c r="K15" t="inlineStr">
        <is>
          <t>A</t>
        </is>
      </c>
      <c r="L15" t="inlineStr">
        <is>
          <t>Suite a votre article de 2022 sur l'asclepiade</t>
        </is>
      </c>
      <c r="M15" t="inlineStr">
        <is>
          <t>Bonjour Rhéane,</t>
        </is>
      </c>
    </row>
    <row r="16" ht="15" customHeight="1" s="26">
      <c r="A16" s="36" t="inlineStr">
        <is>
          <t>Anaïs Elboujdaini</t>
        </is>
      </c>
      <c r="B16" s="36" t="inlineStr">
        <is>
          <t>Bell Média</t>
        </is>
      </c>
      <c r="C16" s="36" t="inlineStr">
        <is>
          <t>anais.elboujdaini@bellmedia.ca</t>
        </is>
      </c>
      <c r="D16" s="36" t="inlineStr">
        <is>
          <t>2022-05-10</t>
        </is>
      </c>
      <c r="E16" s="37" t="inlineStr">
        <is>
          <t>Entrevue — programme de semences d'asclépiade</t>
        </is>
      </c>
      <c r="F16" s="36" t="inlineStr">
        <is>
          <t>Missive — boîte LAS Media</t>
        </is>
      </c>
      <c r="G16" s="36" t="inlineStr">
        <is>
          <t>Correspondance confirmée</t>
        </is>
      </c>
      <c r="H16" s="38" t="n"/>
      <c r="I16" s="38" t="n"/>
      <c r="J16" s="39" t="n"/>
      <c r="K16" t="inlineStr">
        <is>
          <t>I</t>
        </is>
      </c>
      <c r="L16" t="inlineStr">
        <is>
          <t>Invite disponible : Lasclay a Dragons' Den le 17 septembre</t>
        </is>
      </c>
      <c r="M16" t="inlineStr">
        <is>
          <t>Bonjour Anaïs,</t>
        </is>
      </c>
    </row>
    <row r="17" ht="15" customHeight="1" s="26">
      <c r="A17" s="36" t="inlineStr">
        <is>
          <t>Julia Haurio</t>
        </is>
      </c>
      <c r="B17" s="36" t="inlineStr">
        <is>
          <t>Unpointcinq</t>
        </is>
      </c>
      <c r="C17" s="36" t="inlineStr">
        <is>
          <t>jhaurio@unpointcinq.ca</t>
        </is>
      </c>
      <c r="D17" s="36" t="inlineStr">
        <is>
          <t>2022-01-21</t>
        </is>
      </c>
      <c r="E17" s="37" t="inlineStr">
        <is>
          <t>Impact climatique asclépiade</t>
        </is>
      </c>
      <c r="F17" s="36" t="inlineStr">
        <is>
          <t>Missive — boîte LAS Media</t>
        </is>
      </c>
      <c r="G17" s="36" t="inlineStr">
        <is>
          <t>Correspondance confirmée</t>
        </is>
      </c>
      <c r="H17" s="38" t="n"/>
      <c r="I17" s="38" t="n"/>
      <c r="J17" s="39" t="n"/>
      <c r="K17" t="inlineStr">
        <is>
          <t>A</t>
        </is>
      </c>
      <c r="L17" t="inlineStr">
        <is>
          <t>Suite a votre article de 2022 sur l'asclepiade</t>
        </is>
      </c>
      <c r="M17" t="inlineStr">
        <is>
          <t>Bonjour Julia,</t>
        </is>
      </c>
    </row>
    <row r="18" ht="15" customHeight="1" s="26">
      <c r="A18" s="36" t="inlineStr">
        <is>
          <t>Protégez-Vous (contact général)</t>
        </is>
      </c>
      <c r="B18" s="36" t="inlineStr">
        <is>
          <t>Protégez-Vous</t>
        </is>
      </c>
      <c r="C18" s="36" t="inlineStr">
        <is>
          <t>contact@protegez-vous.ca</t>
        </is>
      </c>
      <c r="D18" s="36" t="inlineStr">
        <is>
          <t>2021-11-19</t>
        </is>
      </c>
      <c r="E18" s="37" t="inlineStr">
        <is>
          <t>Étude de marché sur les glacières</t>
        </is>
      </c>
      <c r="F18" s="36" t="inlineStr">
        <is>
          <t>Missive — boîte LAS Media</t>
        </is>
      </c>
      <c r="G18" s="36" t="inlineStr">
        <is>
          <t>Correspondance confirmée</t>
        </is>
      </c>
      <c r="H18" s="38" t="n"/>
      <c r="I18" s="38" t="n"/>
      <c r="J18" s="39" t="n"/>
      <c r="K18" t="inlineStr">
        <is>
          <t>A</t>
        </is>
      </c>
      <c r="L18" t="inlineStr">
        <is>
          <t>Suite a votre article de 2021 sur l'asclepiade</t>
        </is>
      </c>
      <c r="M18" t="inlineStr">
        <is>
          <t>Bonjour Protégez-Vous,</t>
        </is>
      </c>
    </row>
    <row r="19" ht="15" customHeight="1" s="26">
      <c r="A19" s="36" t="inlineStr">
        <is>
          <t>Marc Tison</t>
        </is>
      </c>
      <c r="B19" s="36" t="inlineStr">
        <is>
          <t>La Presse</t>
        </is>
      </c>
      <c r="C19" s="36" t="inlineStr">
        <is>
          <t>mtison1@lapresse.ca</t>
        </is>
      </c>
      <c r="D19" s="36" t="inlineStr">
        <is>
          <t>2021-09-20</t>
        </is>
      </c>
      <c r="E19" s="37" t="inlineStr">
        <is>
          <t>Entrevue — section Affaires</t>
        </is>
      </c>
      <c r="F19" s="36" t="inlineStr">
        <is>
          <t>Missive — boîte LAS Media</t>
        </is>
      </c>
      <c r="G19" s="36" t="inlineStr">
        <is>
          <t>Correspondance confirmée</t>
        </is>
      </c>
      <c r="H19" s="38" t="n"/>
      <c r="I19" s="38" t="n"/>
      <c r="J19" s="39" t="n"/>
      <c r="K19" t="inlineStr">
        <is>
          <t>A</t>
        </is>
      </c>
      <c r="L19" t="inlineStr">
        <is>
          <t>Suite a votre article de 2021 sur l'asclepiade</t>
        </is>
      </c>
      <c r="M19" t="inlineStr">
        <is>
          <t>Bonjour Marc,</t>
        </is>
      </c>
    </row>
    <row r="20" ht="15" customHeight="1" s="26">
      <c r="A20" s="36" t="inlineStr">
        <is>
          <t>Valérie Simard</t>
        </is>
      </c>
      <c r="B20" s="36" t="inlineStr">
        <is>
          <t>La Presse</t>
        </is>
      </c>
      <c r="C20" s="36" t="inlineStr">
        <is>
          <t>vsimard@lapresse.ca</t>
        </is>
      </c>
      <c r="D20" s="36" t="inlineStr">
        <is>
          <t>2021-09-17</t>
        </is>
      </c>
      <c r="E20" s="37" t="inlineStr">
        <is>
          <t>Demande média</t>
        </is>
      </c>
      <c r="F20" s="36" t="inlineStr">
        <is>
          <t>Missive — boîte LAS Media</t>
        </is>
      </c>
      <c r="G20" s="36" t="inlineStr">
        <is>
          <t>Correspondance confirmée</t>
        </is>
      </c>
      <c r="H20" s="38" t="n"/>
      <c r="I20" s="38" t="n"/>
      <c r="J20" s="39" t="n"/>
      <c r="K20" t="inlineStr">
        <is>
          <t>A</t>
        </is>
      </c>
      <c r="L20" t="inlineStr">
        <is>
          <t>Suite a votre article de 2021 sur l'asclepiade</t>
        </is>
      </c>
      <c r="M20" t="inlineStr">
        <is>
          <t>Bonjour Valérie,</t>
        </is>
      </c>
    </row>
    <row r="21" ht="15" customHeight="1" s="26">
      <c r="A21" s="36" t="inlineStr">
        <is>
          <t>Justine Friis</t>
        </is>
      </c>
      <c r="B21" s="36" t="inlineStr">
        <is>
          <t>Unpointcinq</t>
        </is>
      </c>
      <c r="C21" s="36" t="inlineStr">
        <is>
          <t>jfriis@unpointcinq.ca</t>
        </is>
      </c>
      <c r="D21" s="36" t="inlineStr">
        <is>
          <t>2021-09-08</t>
        </is>
      </c>
      <c r="E21" s="37" t="inlineStr">
        <is>
          <t>Impact climatique asclépiade</t>
        </is>
      </c>
      <c r="F21" s="36" t="inlineStr">
        <is>
          <t>Missive — boîte LAS Media</t>
        </is>
      </c>
      <c r="G21" s="36" t="inlineStr">
        <is>
          <t>Correspondance confirmée</t>
        </is>
      </c>
      <c r="H21" s="38" t="n"/>
      <c r="I21" s="38" t="n"/>
      <c r="J21" s="39" t="n"/>
      <c r="K21" t="inlineStr">
        <is>
          <t>A</t>
        </is>
      </c>
      <c r="L21" t="inlineStr">
        <is>
          <t>Suite a votre article de 2021 sur l'asclepiade</t>
        </is>
      </c>
      <c r="M21" t="inlineStr">
        <is>
          <t>Bonjour Justine,</t>
        </is>
      </c>
    </row>
    <row r="22" ht="15" customHeight="1" s="26">
      <c r="A22" s="36" t="inlineStr">
        <is>
          <t>Alex Perreault</t>
        </is>
      </c>
      <c r="B22" s="36" t="inlineStr">
        <is>
          <t>Radio-Canada</t>
        </is>
      </c>
      <c r="C22" s="36" t="inlineStr">
        <is>
          <t>alex.perreault@radio-canada.ca</t>
        </is>
      </c>
      <c r="D22" s="36" t="inlineStr">
        <is>
          <t>2021-07-22</t>
        </is>
      </c>
      <c r="E22" s="37" t="inlineStr">
        <is>
          <t>Entrevue Radio-Canada</t>
        </is>
      </c>
      <c r="F22" s="36" t="inlineStr">
        <is>
          <t>Missive — boîte LAS Media</t>
        </is>
      </c>
      <c r="G22" s="36" t="inlineStr">
        <is>
          <t>Correspondance confirmée</t>
        </is>
      </c>
      <c r="H22" s="38" t="n"/>
      <c r="I22" s="38" t="n"/>
      <c r="J22" s="39" t="n"/>
      <c r="K22" t="inlineStr">
        <is>
          <t>A</t>
        </is>
      </c>
      <c r="L22" t="inlineStr">
        <is>
          <t>Suite a votre article de 2021 sur l'asclepiade</t>
        </is>
      </c>
      <c r="M22" t="inlineStr">
        <is>
          <t>Bonjour Alex,</t>
        </is>
      </c>
    </row>
    <row r="23" ht="15" customHeight="1" s="26">
      <c r="A23" s="36" t="inlineStr">
        <is>
          <t>Francis Higgins</t>
        </is>
      </c>
      <c r="B23" s="36" t="inlineStr">
        <is>
          <t>Le Soleil</t>
        </is>
      </c>
      <c r="C23" s="36" t="inlineStr">
        <is>
          <t>fhiggins@lesoleil.com</t>
        </is>
      </c>
      <c r="D23" s="36" t="inlineStr">
        <is>
          <t>2021-07-07</t>
        </is>
      </c>
      <c r="E23" s="37" t="inlineStr">
        <is>
          <t>Demande de presse — Le Soleil de Québec</t>
        </is>
      </c>
      <c r="F23" s="36" t="inlineStr">
        <is>
          <t>Missive — boîte LAS Media</t>
        </is>
      </c>
      <c r="G23" s="36" t="inlineStr">
        <is>
          <t>Correspondance confirmée</t>
        </is>
      </c>
      <c r="H23" s="38" t="n"/>
      <c r="I23" s="38" t="n"/>
      <c r="J23" s="39" t="n"/>
      <c r="K23" t="inlineStr">
        <is>
          <t>A</t>
        </is>
      </c>
      <c r="L23" t="inlineStr">
        <is>
          <t>Suite a votre article de 2021 sur l'asclepiade</t>
        </is>
      </c>
      <c r="M23" t="inlineStr">
        <is>
          <t>Bonjour Francis,</t>
        </is>
      </c>
    </row>
    <row r="24" ht="15" customHeight="1" s="26">
      <c r="A24" s="36" t="inlineStr">
        <is>
          <t>Fanny Samson</t>
        </is>
      </c>
      <c r="B24" s="36" t="inlineStr">
        <is>
          <t>Radio-Canada</t>
        </is>
      </c>
      <c r="C24" s="36" t="inlineStr">
        <is>
          <t>fanny.samson@radio-canada.ca</t>
        </is>
      </c>
      <c r="D24" s="36" t="inlineStr">
        <is>
          <t>2021-03-13</t>
        </is>
      </c>
      <c r="E24" s="37" t="inlineStr">
        <is>
          <t>Reportage</t>
        </is>
      </c>
      <c r="F24" s="36" t="inlineStr">
        <is>
          <t>Missive — boîte LAS Media</t>
        </is>
      </c>
      <c r="G24" s="36" t="inlineStr">
        <is>
          <t>Correspondance confirmée</t>
        </is>
      </c>
      <c r="H24" s="38" t="n"/>
      <c r="I24" s="38" t="n"/>
      <c r="J24" s="39" t="n"/>
      <c r="K24" t="inlineStr">
        <is>
          <t>A</t>
        </is>
      </c>
      <c r="L24" t="inlineStr">
        <is>
          <t>Suite a votre article de 2021 sur l'asclepiade</t>
        </is>
      </c>
      <c r="M24" t="inlineStr">
        <is>
          <t>Bonjour Fanny,</t>
        </is>
      </c>
    </row>
    <row r="25" ht="15" customHeight="1" s="26">
      <c r="A25" s="36" t="inlineStr">
        <is>
          <t>Martin Ménard</t>
        </is>
      </c>
      <c r="B25" s="36" t="inlineStr">
        <is>
          <t>La Terre de chez nous</t>
        </is>
      </c>
      <c r="C25" s="36" t="inlineStr">
        <is>
          <t>mmenard@laterre.ca</t>
        </is>
      </c>
      <c r="D25" s="36" t="inlineStr">
        <is>
          <t>2021-01-26</t>
        </is>
      </c>
      <c r="E25" s="37" t="inlineStr">
        <is>
          <t>Entrevue La Terre</t>
        </is>
      </c>
      <c r="F25" s="36" t="inlineStr">
        <is>
          <t>Missive — boîte LAS Media</t>
        </is>
      </c>
      <c r="G25" s="36" t="inlineStr">
        <is>
          <t>Correspondance confirmée</t>
        </is>
      </c>
      <c r="H25" s="38" t="n"/>
      <c r="I25" s="38" t="n"/>
      <c r="J25" s="39" t="n"/>
      <c r="K25" t="inlineStr">
        <is>
          <t>A</t>
        </is>
      </c>
      <c r="L25" t="inlineStr">
        <is>
          <t>Suite a votre article de 2021 sur l'asclepiade</t>
        </is>
      </c>
      <c r="M25" t="inlineStr">
        <is>
          <t>Bonjour Martin,</t>
        </is>
      </c>
    </row>
    <row r="26" ht="15" customHeight="1" s="26">
      <c r="A26" s="36" t="inlineStr">
        <is>
          <t>Anne-Sophie Roy</t>
        </is>
      </c>
      <c r="B26" s="36" t="inlineStr">
        <is>
          <t>Québecor Média</t>
        </is>
      </c>
      <c r="C26" s="36" t="inlineStr">
        <is>
          <t>anne-sophie.roy@quebecormedia.com</t>
        </is>
      </c>
      <c r="D26" s="36" t="inlineStr">
        <is>
          <t>2020-12-13</t>
        </is>
      </c>
      <c r="E26" s="37" t="inlineStr">
        <is>
          <t>Série d'articles</t>
        </is>
      </c>
      <c r="F26" s="36" t="inlineStr">
        <is>
          <t>Missive — boîte LAS Media</t>
        </is>
      </c>
      <c r="G26" s="36" t="inlineStr">
        <is>
          <t>Correspondance confirmée</t>
        </is>
      </c>
      <c r="H26" s="38" t="n"/>
      <c r="I26" s="38" t="n"/>
      <c r="J26" s="39" t="n"/>
      <c r="K26" t="inlineStr">
        <is>
          <t>A</t>
        </is>
      </c>
      <c r="L26" t="inlineStr">
        <is>
          <t>Suite a votre article de 2020 sur l'asclepiade</t>
        </is>
      </c>
      <c r="M26" t="inlineStr">
        <is>
          <t>Bonjour Anne-Sophie,</t>
        </is>
      </c>
    </row>
    <row r="27" ht="15" customHeight="1" s="26">
      <c r="A27" s="36" t="inlineStr">
        <is>
          <t>Raphaëlle Drouin</t>
        </is>
      </c>
      <c r="B27" s="36" t="inlineStr">
        <is>
          <t>URBANIA</t>
        </is>
      </c>
      <c r="C27" s="36" t="inlineStr">
        <is>
          <t>raphaelle.drouin@urbania.ca</t>
        </is>
      </c>
      <c r="D27" s="36" t="inlineStr">
        <is>
          <t>2020-11-24</t>
        </is>
      </c>
      <c r="E27" s="37" t="inlineStr">
        <is>
          <t>Entrevue URBANIA</t>
        </is>
      </c>
      <c r="F27" s="36" t="inlineStr">
        <is>
          <t>Missive — boîte LAS Media</t>
        </is>
      </c>
      <c r="G27" s="36" t="inlineStr">
        <is>
          <t>Correspondance confirmée</t>
        </is>
      </c>
      <c r="H27" s="38" t="n"/>
      <c r="I27" s="38" t="n"/>
      <c r="J27" s="39" t="n"/>
      <c r="K27" t="inlineStr">
        <is>
          <t>A</t>
        </is>
      </c>
      <c r="L27" t="inlineStr">
        <is>
          <t>Suite a votre article de 2020 sur l'asclepiade</t>
        </is>
      </c>
      <c r="M27" t="inlineStr">
        <is>
          <t>Bonjour Raphaëlle,</t>
        </is>
      </c>
    </row>
    <row r="28" ht="15" customHeight="1" s="26">
      <c r="A28" s="36" t="inlineStr">
        <is>
          <t>G. Roy</t>
        </is>
      </c>
      <c r="B28" s="36" t="inlineStr">
        <is>
          <t>Le Quotidien</t>
        </is>
      </c>
      <c r="C28" s="36" t="inlineStr">
        <is>
          <t>groy@lequotidien.com</t>
        </is>
      </c>
      <c r="D28" s="36" t="n"/>
      <c r="E28" s="37" t="n"/>
      <c r="F28" s="36" t="inlineStr">
        <is>
          <t>Fournie par Gabriel</t>
        </is>
      </c>
      <c r="G28" s="40" t="inlineStr">
        <is>
          <t>Non recoupée dans Missive</t>
        </is>
      </c>
      <c r="H28" s="38" t="n"/>
      <c r="I28" s="38" t="n"/>
      <c r="J28" s="39" t="n"/>
      <c r="K28" t="inlineStr">
        <is>
          <t>A</t>
        </is>
      </c>
      <c r="L28" t="inlineStr">
        <is>
          <t>Suite a votre article de [année] sur l'asclepiade</t>
        </is>
      </c>
      <c r="M28" t="inlineStr">
        <is>
          <t>Bonjour,</t>
        </is>
      </c>
    </row>
    <row r="29" ht="15" customHeight="1" s="26">
      <c r="A29" s="36" t="inlineStr">
        <is>
          <t>Mireille Roberge</t>
        </is>
      </c>
      <c r="B29" s="36" t="inlineStr">
        <is>
          <t>Radio-Canada</t>
        </is>
      </c>
      <c r="C29" s="36" t="inlineStr">
        <is>
          <t>mireille.roberge@radio-canada.ca</t>
        </is>
      </c>
      <c r="D29" s="36" t="n"/>
      <c r="E29" s="37" t="n"/>
      <c r="F29" s="36" t="inlineStr">
        <is>
          <t>Fournie par Gabriel</t>
        </is>
      </c>
      <c r="G29" s="40" t="inlineStr">
        <is>
          <t>Non recoupée dans Missive</t>
        </is>
      </c>
      <c r="H29" s="38" t="n"/>
      <c r="I29" s="38" t="n"/>
      <c r="J29" s="39" t="n"/>
      <c r="K29" t="inlineStr">
        <is>
          <t>A</t>
        </is>
      </c>
      <c r="L29" t="inlineStr">
        <is>
          <t>Suite a votre article de [année] sur l'asclepiade</t>
        </is>
      </c>
      <c r="M29" t="inlineStr">
        <is>
          <t>Bonjour Mireille,</t>
        </is>
      </c>
    </row>
    <row r="30" ht="15" customHeight="1" s="26">
      <c r="A30" s="36" t="inlineStr">
        <is>
          <t>Sophie Laforest</t>
        </is>
      </c>
      <c r="B30" s="36" t="inlineStr">
        <is>
          <t>Radio-Canada</t>
        </is>
      </c>
      <c r="C30" s="36" t="inlineStr">
        <is>
          <t>sophie.laforest@radio-canada.ca</t>
        </is>
      </c>
      <c r="D30" s="36" t="n"/>
      <c r="E30" s="37" t="n"/>
      <c r="F30" s="36" t="inlineStr">
        <is>
          <t>Fournie par Gabriel</t>
        </is>
      </c>
      <c r="G30" s="40" t="inlineStr">
        <is>
          <t>Non recoupée dans Missive</t>
        </is>
      </c>
      <c r="H30" s="38" t="n"/>
      <c r="I30" s="38" t="n"/>
      <c r="J30" s="39" t="n"/>
      <c r="K30" t="inlineStr">
        <is>
          <t>A</t>
        </is>
      </c>
      <c r="L30" t="inlineStr">
        <is>
          <t>Suite a votre article de [année] sur l'asclepiade</t>
        </is>
      </c>
      <c r="M30" t="inlineStr">
        <is>
          <t>Bonjour Sophie,</t>
        </is>
      </c>
    </row>
    <row r="31" ht="15" customHeight="1" s="26">
      <c r="A31" s="36" t="inlineStr">
        <is>
          <t>A. McKenna</t>
        </is>
      </c>
      <c r="B31" s="36" t="inlineStr">
        <is>
          <t>Le Devoir</t>
        </is>
      </c>
      <c r="C31" s="36" t="inlineStr">
        <is>
          <t>amckenna@ledevoir.com</t>
        </is>
      </c>
      <c r="D31" s="36" t="n"/>
      <c r="E31" s="37" t="n"/>
      <c r="F31" s="36" t="inlineStr">
        <is>
          <t>Fournie par Gabriel</t>
        </is>
      </c>
      <c r="G31" s="40" t="inlineStr">
        <is>
          <t>Non recoupée dans Missive</t>
        </is>
      </c>
      <c r="H31" s="38" t="n"/>
      <c r="I31" s="38" t="n"/>
      <c r="J31" s="39" t="n"/>
      <c r="K31" t="inlineStr">
        <is>
          <t>A</t>
        </is>
      </c>
      <c r="L31" t="inlineStr">
        <is>
          <t>Suite a votre article de [année] sur l'asclepiade</t>
        </is>
      </c>
      <c r="M31" t="inlineStr">
        <is>
          <t>Bonjour,</t>
        </is>
      </c>
    </row>
    <row r="32" ht="15" customHeight="1" s="26">
      <c r="A32" s="36" t="inlineStr">
        <is>
          <t>Sylvie Lemieux</t>
        </is>
      </c>
      <c r="B32" s="36" t="inlineStr">
        <is>
          <t>Pigiste</t>
        </is>
      </c>
      <c r="C32" s="36" t="inlineStr">
        <is>
          <t>sylvielemieux16@gmail.com</t>
        </is>
      </c>
      <c r="D32" s="36" t="n"/>
      <c r="E32" s="37" t="n"/>
      <c r="F32" s="36" t="inlineStr">
        <is>
          <t>Fournie par Gabriel</t>
        </is>
      </c>
      <c r="G32" s="40" t="inlineStr">
        <is>
          <t>Non recoupée dans Missive</t>
        </is>
      </c>
      <c r="H32" s="38" t="n"/>
      <c r="I32" s="38" t="n"/>
      <c r="J32" s="39" t="n"/>
      <c r="K32" t="inlineStr">
        <is>
          <t>A</t>
        </is>
      </c>
      <c r="L32" t="inlineStr">
        <is>
          <t>Suite a votre article de [année] sur l'asclepiade</t>
        </is>
      </c>
      <c r="M32" t="inlineStr">
        <is>
          <t>Bonjour Sylvie,</t>
        </is>
      </c>
    </row>
    <row r="33" ht="15" customHeight="1" s="26">
      <c r="A33" s="36" t="inlineStr">
        <is>
          <t>Sophie Grenier-Héroux</t>
        </is>
      </c>
      <c r="B33" s="36" t="inlineStr">
        <is>
          <t>Pigiste</t>
        </is>
      </c>
      <c r="C33" s="36" t="inlineStr">
        <is>
          <t>sophiegrenierheroux@hotmail.com</t>
        </is>
      </c>
      <c r="D33" s="36" t="n"/>
      <c r="E33" s="37" t="n"/>
      <c r="F33" s="36" t="inlineStr">
        <is>
          <t>Fournie par Gabriel</t>
        </is>
      </c>
      <c r="G33" s="40" t="inlineStr">
        <is>
          <t>Non recoupée dans Missive</t>
        </is>
      </c>
      <c r="H33" s="38" t="n"/>
      <c r="I33" s="38" t="n"/>
      <c r="J33" s="39" t="n"/>
      <c r="K33" t="inlineStr">
        <is>
          <t>A</t>
        </is>
      </c>
      <c r="L33" t="inlineStr">
        <is>
          <t>Suite a votre article de [année] sur l'asclepiade</t>
        </is>
      </c>
      <c r="M33" t="inlineStr">
        <is>
          <t>Bonjour Sophie,</t>
        </is>
      </c>
    </row>
    <row r="34" ht="15" customHeight="1" s="26">
      <c r="A34" s="36" t="inlineStr">
        <is>
          <t>Madeleine Goubau</t>
        </is>
      </c>
      <c r="B34" s="36" t="inlineStr">
        <is>
          <t>Pigiste</t>
        </is>
      </c>
      <c r="C34" s="36" t="inlineStr">
        <is>
          <t>madeleine.goubau@gmail.com</t>
        </is>
      </c>
      <c r="D34" s="36" t="n"/>
      <c r="E34" s="37" t="n"/>
      <c r="F34" s="36" t="inlineStr">
        <is>
          <t>Fournie par Gabriel</t>
        </is>
      </c>
      <c r="G34" s="40" t="inlineStr">
        <is>
          <t>Non recoupée dans Missive</t>
        </is>
      </c>
      <c r="H34" s="38" t="n"/>
      <c r="I34" s="38" t="n"/>
      <c r="J34" s="39" t="n"/>
      <c r="K34" t="inlineStr">
        <is>
          <t>A</t>
        </is>
      </c>
      <c r="L34" t="inlineStr">
        <is>
          <t>Suite a votre article de [année] sur l'asclepiade</t>
        </is>
      </c>
      <c r="M34" t="inlineStr">
        <is>
          <t>Bonjour Madeleine,</t>
        </is>
      </c>
    </row>
    <row r="35" ht="15" customHeight="1" s="26">
      <c r="A35" s="36" t="inlineStr">
        <is>
          <t>Jessica Dostie</t>
        </is>
      </c>
      <c r="B35" s="36" t="inlineStr">
        <is>
          <t>Pigiste</t>
        </is>
      </c>
      <c r="C35" s="36" t="inlineStr">
        <is>
          <t>jessica.dostie@gmail.com</t>
        </is>
      </c>
      <c r="D35" s="36" t="n"/>
      <c r="E35" s="37" t="n"/>
      <c r="F35" s="36" t="inlineStr">
        <is>
          <t>Fournie par Gabriel</t>
        </is>
      </c>
      <c r="G35" s="40" t="inlineStr">
        <is>
          <t>Non recoupée dans Missive</t>
        </is>
      </c>
      <c r="H35" s="38" t="n"/>
      <c r="I35" s="38" t="n"/>
      <c r="J35" s="39" t="n"/>
      <c r="K35" t="inlineStr">
        <is>
          <t>A</t>
        </is>
      </c>
      <c r="L35" t="inlineStr">
        <is>
          <t>Suite a votre article de [année] sur l'asclepiade</t>
        </is>
      </c>
      <c r="M35" t="inlineStr">
        <is>
          <t>Bonjour Jessica,</t>
        </is>
      </c>
    </row>
    <row r="36">
      <c r="A36" t="inlineStr">
        <is>
          <t>Sophie Poisson</t>
        </is>
      </c>
      <c r="B36" t="inlineStr">
        <is>
          <t>Baron Mag</t>
        </is>
      </c>
      <c r="C36" t="inlineStr"/>
      <c r="D36" t="inlineStr">
        <is>
          <t>2020-11-10</t>
        </is>
      </c>
      <c r="E36" t="inlineStr">
        <is>
          <t>Lasclay : des accessoires d'hiver isoles a l'asclepiade</t>
        </is>
      </c>
      <c r="F36" t="inlineStr">
        <is>
          <t>Depouillement web (page medias de lasclay.com)</t>
        </is>
      </c>
      <c r="G36" t="inlineStr">
        <is>
          <t>A verifier</t>
        </is>
      </c>
      <c r="J36" t="inlineStr">
        <is>
          <t>A mentionne Lasclay. Absente des 34. Courriel a trouver.</t>
        </is>
      </c>
      <c r="K36" t="inlineStr">
        <is>
          <t>A</t>
        </is>
      </c>
      <c r="L36" t="inlineStr">
        <is>
          <t>Suite a votre article de 2020 sur l'asclepiade</t>
        </is>
      </c>
      <c r="M36" t="inlineStr">
        <is>
          <t>Bonjour Sophie,</t>
        </is>
      </c>
    </row>
    <row r="37">
      <c r="A37" t="inlineStr">
        <is>
          <t>Caroline Bertrand</t>
        </is>
      </c>
      <c r="B37" t="inlineStr">
        <is>
          <t>ICI Explora</t>
        </is>
      </c>
      <c r="C37" t="inlineStr"/>
      <c r="D37" t="inlineStr">
        <is>
          <t>2021-09-28</t>
        </is>
      </c>
      <c r="E37" t="inlineStr">
        <is>
          <t>L'asclepiade pour braver le froid</t>
        </is>
      </c>
      <c r="F37" t="inlineStr">
        <is>
          <t>Depouillement web (page medias de lasclay.com)</t>
        </is>
      </c>
      <c r="G37" t="inlineStr">
        <is>
          <t>A verifier</t>
        </is>
      </c>
      <c r="J37" t="inlineStr">
        <is>
          <t>A mentionne Lasclay. Absente des 34. Courriel a trouver.</t>
        </is>
      </c>
      <c r="K37" t="inlineStr">
        <is>
          <t>A</t>
        </is>
      </c>
      <c r="L37" t="inlineStr">
        <is>
          <t>Suite a votre article de 2021 sur l'asclepiade</t>
        </is>
      </c>
      <c r="M37" t="inlineStr">
        <is>
          <t>Bonjour Caroline,</t>
        </is>
      </c>
    </row>
    <row r="38">
      <c r="A38" t="inlineStr">
        <is>
          <t>Karine Benoist</t>
        </is>
      </c>
      <c r="B38" t="inlineStr">
        <is>
          <t>Chatelaine</t>
        </is>
      </c>
      <c r="C38" t="inlineStr"/>
      <c r="D38" t="inlineStr">
        <is>
          <t>2023-11-29</t>
        </is>
      </c>
      <c r="E38" t="inlineStr">
        <is>
          <t>Cadeaux faits au Quebec : foulard d'asclepiade</t>
        </is>
      </c>
      <c r="F38" t="inlineStr">
        <is>
          <t>Depouillement web (page medias de lasclay.com)</t>
        </is>
      </c>
      <c r="G38" t="inlineStr">
        <is>
          <t>A verifier</t>
        </is>
      </c>
      <c r="J38" t="inlineStr">
        <is>
          <t>A mentionne Lasclay. Absente des 34. Courriel a trouver.</t>
        </is>
      </c>
      <c r="K38" t="inlineStr">
        <is>
          <t>A</t>
        </is>
      </c>
      <c r="L38" t="inlineStr">
        <is>
          <t>Suite a votre article de 2023 sur l'asclepiade</t>
        </is>
      </c>
      <c r="M38" t="inlineStr">
        <is>
          <t>Bonjour Karine,</t>
        </is>
      </c>
    </row>
  </sheetData>
  <autoFilter ref="A1:J3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9" customWidth="1" style="25" min="1" max="1"/>
    <col width="18" customWidth="1" style="25" min="2" max="2"/>
    <col width="20" customWidth="1" style="25" min="3" max="3"/>
    <col width="40" customWidth="1" style="25" min="4" max="4"/>
    <col width="26" customWidth="1" style="25" min="5" max="5"/>
    <col width="36" customWidth="1" style="25" min="6" max="6"/>
    <col width="13" customWidth="1" style="25" min="7" max="7"/>
    <col width="26" customWidth="1" style="25" min="8" max="8"/>
    <col width="40" customWidth="1" style="25" min="9" max="9"/>
    <col width="12" customWidth="1" style="25" min="10" max="10"/>
    <col width="13" customWidth="1" style="25" min="11" max="12"/>
    <col width="22" customWidth="1" style="25" min="13" max="13"/>
    <col width="30" customWidth="1" style="25" min="14" max="14"/>
  </cols>
  <sheetData>
    <row r="1" ht="27.75" customHeight="1" s="26">
      <c r="A1" s="34" t="inlineStr">
        <is>
          <t>Priorité</t>
        </is>
      </c>
      <c r="B1" s="34" t="inlineStr">
        <is>
          <t>Prénom</t>
        </is>
      </c>
      <c r="C1" s="34" t="inlineStr">
        <is>
          <t>Nom</t>
        </is>
      </c>
      <c r="D1" s="34" t="inlineStr">
        <is>
          <t>Fonction</t>
        </is>
      </c>
      <c r="E1" s="34" t="inlineStr">
        <is>
          <t>Média</t>
        </is>
      </c>
      <c r="F1" s="34" t="inlineStr">
        <is>
          <t>Courriel</t>
        </is>
      </c>
      <c r="G1" s="34" t="inlineStr">
        <is>
          <t>Téléphone</t>
        </is>
      </c>
      <c r="H1" s="34" t="inlineStr">
        <is>
          <t>Région</t>
        </is>
      </c>
      <c r="I1" s="34" t="inlineStr">
        <is>
          <t>Secteurs pertinents</t>
        </is>
      </c>
      <c r="J1" s="34" t="inlineStr">
        <is>
          <t>Déjà contacté</t>
        </is>
      </c>
      <c r="K1" s="34" t="inlineStr">
        <is>
          <t>Fiche FPJQ</t>
        </is>
      </c>
      <c r="L1" s="34" t="inlineStr">
        <is>
          <t>Envoyé le</t>
        </is>
      </c>
      <c r="M1" s="34" t="inlineStr">
        <is>
          <t>Réponse</t>
        </is>
      </c>
      <c r="N1" s="34" t="inlineStr">
        <is>
          <t>Notes</t>
        </is>
      </c>
      <c r="O1" s="35" t="inlineStr">
        <is>
          <t>Angle</t>
        </is>
      </c>
      <c r="P1" s="35" t="inlineStr">
        <is>
          <t>Objet suggéré</t>
        </is>
      </c>
      <c r="Q1" s="35" t="inlineStr">
        <is>
          <t>Salutation</t>
        </is>
      </c>
      <c r="R1" s="35" t="inlineStr">
        <is>
          <t>Précaution</t>
        </is>
      </c>
    </row>
    <row r="2" ht="23.85" customHeight="1" s="26">
      <c r="A2" s="41" t="inlineStr">
        <is>
          <t>A</t>
        </is>
      </c>
      <c r="B2" s="36" t="inlineStr">
        <is>
          <t>Marie</t>
        </is>
      </c>
      <c r="C2" s="36" t="inlineStr">
        <is>
          <t>Allard</t>
        </is>
      </c>
      <c r="D2" s="37" t="inlineStr">
        <is>
          <t>Directrice générale et éditrice</t>
        </is>
      </c>
      <c r="E2" s="36" t="inlineStr">
        <is>
          <t>Publications BLD inc</t>
        </is>
      </c>
      <c r="F2" s="36" t="inlineStr">
        <is>
          <t>marie.allard@laesdebrouillards.com</t>
        </is>
      </c>
      <c r="G2" s="36" t="inlineStr">
        <is>
          <t>514 208-5083</t>
        </is>
      </c>
      <c r="H2" s="36" t="inlineStr">
        <is>
          <t>Montréal</t>
        </is>
      </c>
      <c r="I2" s="37" t="inlineStr">
        <is>
          <t>Agriculture; Art de vivre; Consommation; Environnement; Sciences</t>
        </is>
      </c>
      <c r="J2" s="36" t="n"/>
      <c r="K2" s="42" t="inlineStr">
        <is>
          <t>Ouvrir</t>
        </is>
      </c>
      <c r="L2" s="38" t="n"/>
      <c r="M2" s="38" t="n"/>
      <c r="N2" s="39" t="n"/>
      <c r="O2" t="inlineStr">
        <is>
          <t>C</t>
        </is>
      </c>
      <c r="P2" t="inlineStr">
        <is>
          <t>L'asclepiade, huit ans apres l'effondrement de la filiere</t>
        </is>
      </c>
      <c r="Q2" t="inlineStr">
        <is>
          <t>Bonjour Marie,</t>
        </is>
      </c>
    </row>
    <row r="3" ht="15" customHeight="1" s="26">
      <c r="A3" s="41" t="inlineStr">
        <is>
          <t>A</t>
        </is>
      </c>
      <c r="B3" s="36" t="inlineStr">
        <is>
          <t>Zoé</t>
        </is>
      </c>
      <c r="C3" s="36" t="inlineStr">
        <is>
          <t>Allemand</t>
        </is>
      </c>
      <c r="D3" s="37" t="inlineStr">
        <is>
          <t>journaliste</t>
        </is>
      </c>
      <c r="E3" s="36" t="inlineStr">
        <is>
          <t>Pigiste</t>
        </is>
      </c>
      <c r="F3" s="36" t="inlineStr">
        <is>
          <t>zoe.allemand@hotmail.com</t>
        </is>
      </c>
      <c r="G3" s="36" t="n"/>
      <c r="H3" s="36" t="inlineStr">
        <is>
          <t>Est-du-Québec</t>
        </is>
      </c>
      <c r="I3" s="37" t="inlineStr">
        <is>
          <t>Agriculture; Art de vivre; Consommation; Plein air</t>
        </is>
      </c>
      <c r="J3" s="36" t="n"/>
      <c r="K3" s="42" t="inlineStr">
        <is>
          <t>Ouvrir</t>
        </is>
      </c>
      <c r="L3" s="38" t="n"/>
      <c r="M3" s="38" t="n"/>
      <c r="N3" s="39" t="n"/>
      <c r="O3" t="inlineStr">
        <is>
          <t>C</t>
        </is>
      </c>
      <c r="P3" t="inlineStr">
        <is>
          <t>L'asclepiade, huit ans apres l'effondrement de la filiere</t>
        </is>
      </c>
      <c r="Q3" t="inlineStr">
        <is>
          <t>Bonjour Zoé,</t>
        </is>
      </c>
      <c r="R3" t="inlineStr">
        <is>
          <t>Adresse personnelle : individualiser vraiment</t>
        </is>
      </c>
    </row>
    <row r="4" ht="23.85" customHeight="1" s="26">
      <c r="A4" s="41" t="inlineStr">
        <is>
          <t>A</t>
        </is>
      </c>
      <c r="B4" s="36" t="inlineStr">
        <is>
          <t>Victoria</t>
        </is>
      </c>
      <c r="C4" s="36" t="inlineStr">
        <is>
          <t>Bakos</t>
        </is>
      </c>
      <c r="D4" s="37" t="inlineStr">
        <is>
          <t>Journaliste</t>
        </is>
      </c>
      <c r="E4" s="36" t="inlineStr">
        <is>
          <t>Pigiste</t>
        </is>
      </c>
      <c r="F4" s="36" t="inlineStr">
        <is>
          <t>victoria_bakos@hotmail.com</t>
        </is>
      </c>
      <c r="G4" s="36" t="n"/>
      <c r="H4" s="36" t="inlineStr">
        <is>
          <t>Laval</t>
        </is>
      </c>
      <c r="I4" s="37" t="inlineStr">
        <is>
          <t>Art de vivre; Consommation; Environnement; Mode et beauté; Économie</t>
        </is>
      </c>
      <c r="J4" s="36" t="n"/>
      <c r="K4" s="42" t="inlineStr">
        <is>
          <t>Ouvrir</t>
        </is>
      </c>
      <c r="L4" s="38" t="n"/>
      <c r="M4" s="38" t="n"/>
      <c r="N4" s="39" t="n"/>
      <c r="O4" t="inlineStr">
        <is>
          <t>G</t>
        </is>
      </c>
      <c r="P4" t="inlineStr">
        <is>
          <t>Un manteau isole avec une mauvaise herbe, au premier episode de Dragons' Den</t>
        </is>
      </c>
      <c r="Q4" t="inlineStr">
        <is>
          <t>Bonjour Victoria,</t>
        </is>
      </c>
      <c r="R4" t="inlineStr">
        <is>
          <t>Adresse personnelle : individualiser vraiment</t>
        </is>
      </c>
    </row>
    <row r="5" ht="15" customHeight="1" s="26">
      <c r="A5" s="41" t="inlineStr">
        <is>
          <t>A</t>
        </is>
      </c>
      <c r="B5" s="36" t="inlineStr">
        <is>
          <t>Marie-Émélie</t>
        </is>
      </c>
      <c r="C5" s="36" t="inlineStr">
        <is>
          <t>Bernier</t>
        </is>
      </c>
      <c r="D5" s="37" t="inlineStr">
        <is>
          <t>Journaliste, chroniqueuse, photographe, pigiste</t>
        </is>
      </c>
      <c r="E5" s="36" t="inlineStr">
        <is>
          <t>Le Charlevoisien</t>
        </is>
      </c>
      <c r="F5" s="36" t="inlineStr">
        <is>
          <t>ebernier@lecharlevoisien.com</t>
        </is>
      </c>
      <c r="G5" s="36" t="inlineStr">
        <is>
          <t>418-435-0220</t>
        </is>
      </c>
      <c r="H5" s="36" t="inlineStr">
        <is>
          <t>Capitale-Nationale/Chaudière-Appalaches</t>
        </is>
      </c>
      <c r="I5" s="37" t="inlineStr">
        <is>
          <t>Agriculture; Art de vivre; Environnement; Plein air; Sciences</t>
        </is>
      </c>
      <c r="J5" s="36" t="n"/>
      <c r="K5" s="42" t="inlineStr">
        <is>
          <t>Ouvrir</t>
        </is>
      </c>
      <c r="L5" s="38" t="n"/>
      <c r="M5" s="38" t="n"/>
      <c r="N5" s="39" t="n"/>
      <c r="O5" t="inlineStr">
        <is>
          <t>B</t>
        </is>
      </c>
      <c r="P5" t="inlineStr">
        <is>
          <t>Capitale-Nationale/Chaudière-Appalaches : Lasclay au premier episode de la 21e saison de Dragons' Den</t>
        </is>
      </c>
      <c r="Q5" t="inlineStr">
        <is>
          <t>Bonjour Marie-Émélie,</t>
        </is>
      </c>
    </row>
    <row r="6" ht="23.85" customHeight="1" s="26">
      <c r="A6" s="41" t="inlineStr">
        <is>
          <t>A</t>
        </is>
      </c>
      <c r="B6" s="36" t="inlineStr">
        <is>
          <t>Normand</t>
        </is>
      </c>
      <c r="C6" s="36" t="inlineStr">
        <is>
          <t>Blouin</t>
        </is>
      </c>
      <c r="D6" s="37" t="inlineStr">
        <is>
          <t>Photographe de presse</t>
        </is>
      </c>
      <c r="E6" s="36" t="inlineStr">
        <is>
          <t>Pigiste</t>
        </is>
      </c>
      <c r="F6" s="36" t="inlineStr">
        <is>
          <t>normandblouin@gmail.com</t>
        </is>
      </c>
      <c r="G6" s="36" t="inlineStr">
        <is>
          <t>15145765423</t>
        </is>
      </c>
      <c r="H6" s="36" t="inlineStr">
        <is>
          <t>Laurentides</t>
        </is>
      </c>
      <c r="I6" s="37" t="inlineStr">
        <is>
          <t>Agriculture; Art de vivre; Consommation; Environnement; Plein air</t>
        </is>
      </c>
      <c r="J6" s="36" t="n"/>
      <c r="K6" s="42" t="inlineStr">
        <is>
          <t>Ouvrir</t>
        </is>
      </c>
      <c r="L6" s="38" t="n"/>
      <c r="M6" s="38" t="n"/>
      <c r="N6" s="39" t="n"/>
      <c r="O6" t="inlineStr">
        <is>
          <t>C</t>
        </is>
      </c>
      <c r="P6" t="inlineStr">
        <is>
          <t>L'asclepiade, huit ans apres l'effondrement de la filiere</t>
        </is>
      </c>
      <c r="Q6" t="inlineStr">
        <is>
          <t>Bonjour Normand,</t>
        </is>
      </c>
      <c r="R6" t="inlineStr">
        <is>
          <t>Adresse personnelle : individualiser vraiment</t>
        </is>
      </c>
    </row>
    <row r="7" ht="15" customHeight="1" s="26">
      <c r="A7" s="41" t="inlineStr">
        <is>
          <t>A</t>
        </is>
      </c>
      <c r="B7" s="36" t="inlineStr">
        <is>
          <t>Louise</t>
        </is>
      </c>
      <c r="C7" s="36" t="inlineStr">
        <is>
          <t>Bourbonnais</t>
        </is>
      </c>
      <c r="D7" s="37" t="inlineStr">
        <is>
          <t>Journaliste</t>
        </is>
      </c>
      <c r="E7" s="36" t="inlineStr">
        <is>
          <t>Le Journal de Montréal</t>
        </is>
      </c>
      <c r="F7" s="36" t="inlineStr">
        <is>
          <t>lbourbonnais@videotron.ca</t>
        </is>
      </c>
      <c r="G7" s="36" t="n"/>
      <c r="H7" s="36" t="inlineStr">
        <is>
          <t>Capitale-Nationale/Chaudière-Appalaches</t>
        </is>
      </c>
      <c r="I7" s="37" t="inlineStr">
        <is>
          <t>Art de vivre; Consommation</t>
        </is>
      </c>
      <c r="J7" s="36" t="n"/>
      <c r="K7" s="42" t="inlineStr">
        <is>
          <t>Ouvrir</t>
        </is>
      </c>
      <c r="L7" s="38" t="n"/>
      <c r="M7" s="38" t="n"/>
      <c r="N7" s="39" t="n"/>
      <c r="O7" t="inlineStr">
        <is>
          <t>B</t>
        </is>
      </c>
      <c r="P7" t="inlineStr">
        <is>
          <t>Capitale-Nationale/Chaudière-Appalaches : Lasclay au premier episode de la 21e saison de Dragons' Den</t>
        </is>
      </c>
      <c r="Q7" t="inlineStr">
        <is>
          <t>Bonjour Louise,</t>
        </is>
      </c>
      <c r="R7" t="inlineStr">
        <is>
          <t>Adresse personnelle : individualiser vraiment</t>
        </is>
      </c>
    </row>
    <row r="8" ht="15" customHeight="1" s="26">
      <c r="A8" s="41" t="inlineStr">
        <is>
          <t>A</t>
        </is>
      </c>
      <c r="B8" s="36" t="inlineStr">
        <is>
          <t>Francois</t>
        </is>
      </c>
      <c r="C8" s="36" t="inlineStr">
        <is>
          <t>Bourque</t>
        </is>
      </c>
      <c r="D8" s="37" t="inlineStr">
        <is>
          <t>journaliste</t>
        </is>
      </c>
      <c r="E8" s="36" t="inlineStr">
        <is>
          <t>Pigiste</t>
        </is>
      </c>
      <c r="F8" s="36" t="inlineStr">
        <is>
          <t>franbour2@videotron.ca</t>
        </is>
      </c>
      <c r="G8" s="36" t="n"/>
      <c r="H8" s="36" t="inlineStr">
        <is>
          <t>Capitale-Nationale/Chaudière-Appalaches</t>
        </is>
      </c>
      <c r="I8" s="37" t="inlineStr">
        <is>
          <t>Économie</t>
        </is>
      </c>
      <c r="J8" s="36" t="n"/>
      <c r="K8" s="42" t="inlineStr">
        <is>
          <t>Ouvrir</t>
        </is>
      </c>
      <c r="L8" s="38" t="n"/>
      <c r="M8" s="38" t="n"/>
      <c r="N8" s="39" t="n"/>
      <c r="O8" t="inlineStr">
        <is>
          <t>E</t>
        </is>
      </c>
      <c r="P8" t="inlineStr">
        <is>
          <t>Une PME qui a rapatrie sa production, puis en a delocalise une partie</t>
        </is>
      </c>
      <c r="Q8" t="inlineStr">
        <is>
          <t>Bonjour Francois,</t>
        </is>
      </c>
      <c r="R8" t="inlineStr">
        <is>
          <t>Adresse personnelle : individualiser vraiment</t>
        </is>
      </c>
    </row>
    <row r="9" ht="15" customHeight="1" s="26">
      <c r="A9" s="41" t="inlineStr">
        <is>
          <t>A</t>
        </is>
      </c>
      <c r="B9" s="36" t="inlineStr">
        <is>
          <t>Ariane</t>
        </is>
      </c>
      <c r="C9" s="36" t="inlineStr">
        <is>
          <t>Boyer</t>
        </is>
      </c>
      <c r="D9" s="37" t="inlineStr">
        <is>
          <t>Journaliste</t>
        </is>
      </c>
      <c r="E9" s="36" t="inlineStr">
        <is>
          <t>Pigiste</t>
        </is>
      </c>
      <c r="F9" s="36" t="inlineStr">
        <is>
          <t>ariane.boyer@tva.ca</t>
        </is>
      </c>
      <c r="G9" s="36" t="inlineStr">
        <is>
          <t>5816732446</t>
        </is>
      </c>
      <c r="H9" s="36" t="inlineStr">
        <is>
          <t>Est-du-Québec</t>
        </is>
      </c>
      <c r="I9" s="37" t="inlineStr">
        <is>
          <t>Environnement; Sciences; Économie</t>
        </is>
      </c>
      <c r="J9" s="36" t="n"/>
      <c r="K9" s="42" t="inlineStr">
        <is>
          <t>Ouvrir</t>
        </is>
      </c>
      <c r="L9" s="38" t="n"/>
      <c r="M9" s="38" t="n"/>
      <c r="N9" s="39" t="n"/>
      <c r="O9" t="inlineStr">
        <is>
          <t>D</t>
        </is>
      </c>
      <c r="P9" t="inlineStr">
        <is>
          <t>Le monarque, l'asclepiade, et l'idee qu'il faut la rendre payante</t>
        </is>
      </c>
      <c r="Q9" t="inlineStr">
        <is>
          <t>Bonjour Ariane,</t>
        </is>
      </c>
      <c r="R9" t="inlineStr">
        <is>
          <t>Adresse personnelle : individualiser vraiment</t>
        </is>
      </c>
    </row>
    <row r="10" ht="15" customHeight="1" s="26">
      <c r="A10" s="41" t="inlineStr">
        <is>
          <t>A</t>
        </is>
      </c>
      <c r="B10" s="36" t="inlineStr">
        <is>
          <t>Gilbert</t>
        </is>
      </c>
      <c r="C10" s="36" t="inlineStr">
        <is>
          <t>Bégin</t>
        </is>
      </c>
      <c r="D10" s="37" t="inlineStr">
        <is>
          <t>Journaliste Affaires Publiques</t>
        </is>
      </c>
      <c r="E10" s="36" t="inlineStr">
        <is>
          <t>Radio-Canada (Québec)</t>
        </is>
      </c>
      <c r="F10" s="36" t="inlineStr">
        <is>
          <t>gilbert.begin@radio-canada.ca</t>
        </is>
      </c>
      <c r="G10" s="36" t="inlineStr">
        <is>
          <t>4185648653</t>
        </is>
      </c>
      <c r="H10" s="36" t="inlineStr">
        <is>
          <t>Capitale-Nationale/Chaudière-Appalaches</t>
        </is>
      </c>
      <c r="I10" s="37" t="inlineStr">
        <is>
          <t>Agriculture; Environnement; Plein air; Sciences</t>
        </is>
      </c>
      <c r="J10" s="36" t="n"/>
      <c r="K10" s="42" t="inlineStr">
        <is>
          <t>Ouvrir</t>
        </is>
      </c>
      <c r="L10" s="38" t="n"/>
      <c r="M10" s="38" t="n"/>
      <c r="N10" s="39" t="n"/>
      <c r="O10" t="inlineStr">
        <is>
          <t>B</t>
        </is>
      </c>
      <c r="P10" t="inlineStr">
        <is>
          <t>Capitale-Nationale/Chaudière-Appalaches : Lasclay au premier episode de la 21e saison de Dragons' Den</t>
        </is>
      </c>
      <c r="Q10" t="inlineStr">
        <is>
          <t>Bonjour Gilbert,</t>
        </is>
      </c>
    </row>
    <row r="11" ht="23.85" customHeight="1" s="26">
      <c r="A11" s="41" t="inlineStr">
        <is>
          <t>A</t>
        </is>
      </c>
      <c r="B11" s="36" t="inlineStr">
        <is>
          <t>Papa Moussa</t>
        </is>
      </c>
      <c r="C11" s="36" t="inlineStr">
        <is>
          <t>Camara</t>
        </is>
      </c>
      <c r="D11" s="37" t="inlineStr">
        <is>
          <t>Journaliste-Animateur</t>
        </is>
      </c>
      <c r="E11" s="36" t="inlineStr">
        <is>
          <t>Pigiste</t>
        </is>
      </c>
      <c r="F11" s="36" t="inlineStr">
        <is>
          <t>pamoussa012@gmail.com</t>
        </is>
      </c>
      <c r="G11" s="36" t="inlineStr">
        <is>
          <t>5813494906</t>
        </is>
      </c>
      <c r="H11" s="36" t="inlineStr">
        <is>
          <t>Capitale-Nationale/Chaudière-Appalaches</t>
        </is>
      </c>
      <c r="I11" s="37" t="inlineStr">
        <is>
          <t>Agriculture; Art de vivre; Environnement; Mode et beauté; Plein air; Sciences; Économie</t>
        </is>
      </c>
      <c r="J11" s="36" t="n"/>
      <c r="K11" s="42" t="inlineStr">
        <is>
          <t>Ouvrir</t>
        </is>
      </c>
      <c r="L11" s="38" t="n"/>
      <c r="M11" s="38" t="n"/>
      <c r="N11" s="39" t="n"/>
      <c r="O11" t="inlineStr">
        <is>
          <t>I</t>
        </is>
      </c>
      <c r="P11" t="inlineStr">
        <is>
          <t>Invite disponible : Lasclay a Dragons' Den le 17 septembre</t>
        </is>
      </c>
      <c r="Q11" t="inlineStr">
        <is>
          <t>Bonjour Papa Moussa,</t>
        </is>
      </c>
      <c r="R11" t="inlineStr">
        <is>
          <t>Adresse personnelle : individualiser vraiment</t>
        </is>
      </c>
    </row>
    <row r="12" ht="15" customHeight="1" s="26">
      <c r="A12" s="41" t="inlineStr">
        <is>
          <t>A</t>
        </is>
      </c>
      <c r="B12" s="36" t="inlineStr">
        <is>
          <t>Victor</t>
        </is>
      </c>
      <c r="C12" s="36" t="inlineStr">
        <is>
          <t>Carré</t>
        </is>
      </c>
      <c r="D12" s="37" t="inlineStr">
        <is>
          <t>Journaliste</t>
        </is>
      </c>
      <c r="E12" s="36" t="inlineStr">
        <is>
          <t>Le Charlevoisien</t>
        </is>
      </c>
      <c r="F12" s="36" t="inlineStr">
        <is>
          <t>vcarre@lecharlevoisien.com</t>
        </is>
      </c>
      <c r="G12" s="36" t="inlineStr">
        <is>
          <t>418-435-0220 P.2254</t>
        </is>
      </c>
      <c r="H12" s="36" t="inlineStr">
        <is>
          <t>Capitale-Nationale/Chaudière-Appalaches</t>
        </is>
      </c>
      <c r="I12" s="37" t="inlineStr">
        <is>
          <t>Économie</t>
        </is>
      </c>
      <c r="J12" s="36" t="n"/>
      <c r="K12" s="42" t="inlineStr">
        <is>
          <t>Ouvrir</t>
        </is>
      </c>
      <c r="L12" s="38" t="n"/>
      <c r="M12" s="38" t="n"/>
      <c r="N12" s="39" t="n"/>
      <c r="O12" t="inlineStr">
        <is>
          <t>B</t>
        </is>
      </c>
      <c r="P12" t="inlineStr">
        <is>
          <t>Capitale-Nationale/Chaudière-Appalaches : Lasclay au premier episode de la 21e saison de Dragons' Den</t>
        </is>
      </c>
      <c r="Q12" t="inlineStr">
        <is>
          <t>Bonjour Victor,</t>
        </is>
      </c>
    </row>
    <row r="13" ht="15" customHeight="1" s="26">
      <c r="A13" s="41" t="inlineStr">
        <is>
          <t>A</t>
        </is>
      </c>
      <c r="B13" s="36" t="inlineStr">
        <is>
          <t>Eric</t>
        </is>
      </c>
      <c r="C13" s="36" t="inlineStr">
        <is>
          <t>Chabot</t>
        </is>
      </c>
      <c r="D13" s="37" t="inlineStr">
        <is>
          <t>Photographe</t>
        </is>
      </c>
      <c r="E13" s="36" t="inlineStr">
        <is>
          <t>Pigiste</t>
        </is>
      </c>
      <c r="F13" s="36" t="inlineStr">
        <is>
          <t>info@ericchabot.com</t>
        </is>
      </c>
      <c r="G13" s="36" t="n"/>
      <c r="H13" s="36" t="inlineStr">
        <is>
          <t>Montréal</t>
        </is>
      </c>
      <c r="I13" s="37" t="inlineStr">
        <is>
          <t>Environnement; Plein air; Sciences</t>
        </is>
      </c>
      <c r="J13" s="36" t="n"/>
      <c r="K13" s="42" t="inlineStr">
        <is>
          <t>Ouvrir</t>
        </is>
      </c>
      <c r="L13" s="38" t="n"/>
      <c r="M13" s="38" t="n"/>
      <c r="N13" s="39" t="n"/>
      <c r="O13" t="inlineStr">
        <is>
          <t>F</t>
        </is>
      </c>
      <c r="P13" t="inlineStr">
        <is>
          <t>L'asclepiade contre le duvet, et ce que les tests disent vraiment</t>
        </is>
      </c>
      <c r="Q13" t="inlineStr">
        <is>
          <t>Bonjour Eric,</t>
        </is>
      </c>
      <c r="R13" t="inlineStr">
        <is>
          <t>Adresse personnelle : individualiser vraiment</t>
        </is>
      </c>
    </row>
    <row r="14" ht="15" customHeight="1" s="26">
      <c r="A14" s="41" t="inlineStr">
        <is>
          <t>A</t>
        </is>
      </c>
      <c r="B14" s="36" t="inlineStr">
        <is>
          <t>Tristan</t>
        </is>
      </c>
      <c r="C14" s="36" t="inlineStr">
        <is>
          <t>Champagne-Lessard</t>
        </is>
      </c>
      <c r="D14" s="37" t="inlineStr">
        <is>
          <t>Journaliste</t>
        </is>
      </c>
      <c r="E14" s="36" t="inlineStr">
        <is>
          <t>Radio-Canada</t>
        </is>
      </c>
      <c r="F14" s="36" t="inlineStr">
        <is>
          <t>tristanchampagnelessard@gmail.com</t>
        </is>
      </c>
      <c r="G14" s="36" t="n"/>
      <c r="H14" s="36" t="inlineStr">
        <is>
          <t>Montérégie</t>
        </is>
      </c>
      <c r="I14" s="37" t="inlineStr">
        <is>
          <t>Consommation; Environnement; Sciences; Économie</t>
        </is>
      </c>
      <c r="J14" s="36" t="n"/>
      <c r="K14" s="42" t="inlineStr">
        <is>
          <t>Ouvrir</t>
        </is>
      </c>
      <c r="L14" s="38" t="n"/>
      <c r="M14" s="38" t="n"/>
      <c r="N14" s="39" t="n"/>
      <c r="O14" t="inlineStr">
        <is>
          <t>B</t>
        </is>
      </c>
      <c r="P14" t="inlineStr">
        <is>
          <t>Montérégie : Lasclay au premier episode de la 21e saison de Dragons' Den</t>
        </is>
      </c>
      <c r="Q14" t="inlineStr">
        <is>
          <t>Bonjour Tristan,</t>
        </is>
      </c>
      <c r="R14" t="inlineStr">
        <is>
          <t>Adresse personnelle : individualiser vraiment</t>
        </is>
      </c>
    </row>
    <row r="15" ht="15" customHeight="1" s="26">
      <c r="A15" s="41" t="inlineStr">
        <is>
          <t>A</t>
        </is>
      </c>
      <c r="B15" s="36" t="inlineStr">
        <is>
          <t>Jean-Marc</t>
        </is>
      </c>
      <c r="C15" s="36" t="inlineStr">
        <is>
          <t>Chevalier</t>
        </is>
      </c>
      <c r="D15" s="37" t="inlineStr">
        <is>
          <t>Photographe et pilote de drone</t>
        </is>
      </c>
      <c r="E15" s="36" t="inlineStr">
        <is>
          <t>Pigiste</t>
        </is>
      </c>
      <c r="F15" s="36" t="inlineStr">
        <is>
          <t>info@photojmc.ca</t>
        </is>
      </c>
      <c r="G15" s="36" t="inlineStr">
        <is>
          <t>5146041181</t>
        </is>
      </c>
      <c r="H15" s="36" t="inlineStr">
        <is>
          <t>Montérégie</t>
        </is>
      </c>
      <c r="I15" s="37" t="inlineStr">
        <is>
          <t>Agriculture; Environnement; Plein air; Sciences</t>
        </is>
      </c>
      <c r="J15" s="36" t="n"/>
      <c r="K15" s="42" t="inlineStr">
        <is>
          <t>Ouvrir</t>
        </is>
      </c>
      <c r="L15" s="38" t="n"/>
      <c r="M15" s="38" t="n"/>
      <c r="N15" s="39" t="n"/>
      <c r="O15" t="inlineStr">
        <is>
          <t>C</t>
        </is>
      </c>
      <c r="P15" t="inlineStr">
        <is>
          <t>L'asclepiade, huit ans apres l'effondrement de la filiere</t>
        </is>
      </c>
      <c r="Q15" t="inlineStr">
        <is>
          <t>Bonjour Jean-Marc,</t>
        </is>
      </c>
      <c r="R15" t="inlineStr">
        <is>
          <t>Adresse personnelle : individualiser vraiment</t>
        </is>
      </c>
    </row>
    <row r="16" ht="23.85" customHeight="1" s="26">
      <c r="A16" s="41" t="inlineStr">
        <is>
          <t>A</t>
        </is>
      </c>
      <c r="B16" s="36" t="inlineStr">
        <is>
          <t>Simon</t>
        </is>
      </c>
      <c r="C16" s="36" t="inlineStr">
        <is>
          <t>Chrétien</t>
        </is>
      </c>
      <c r="D16" s="37" t="inlineStr">
        <is>
          <t>Rédacteur en chef et journaliste</t>
        </is>
      </c>
      <c r="E16" s="36" t="inlineStr">
        <is>
          <t>Pigiste</t>
        </is>
      </c>
      <c r="F16" s="36" t="inlineStr">
        <is>
          <t>schretien@alliancepolymeres.org</t>
        </is>
      </c>
      <c r="G16" s="36" t="inlineStr">
        <is>
          <t>418-903-0763</t>
        </is>
      </c>
      <c r="H16" s="36" t="inlineStr">
        <is>
          <t>Capitale-Nationale/Chaudière-Appalaches</t>
        </is>
      </c>
      <c r="I16" s="37" t="inlineStr">
        <is>
          <t>Agriculture; Consommation; Environnement; Sciences; Économie</t>
        </is>
      </c>
      <c r="J16" s="36" t="n"/>
      <c r="K16" s="42" t="inlineStr">
        <is>
          <t>Ouvrir</t>
        </is>
      </c>
      <c r="L16" s="38" t="n"/>
      <c r="M16" s="38" t="n"/>
      <c r="N16" s="39" t="n"/>
      <c r="O16" t="inlineStr">
        <is>
          <t>C</t>
        </is>
      </c>
      <c r="P16" t="inlineStr">
        <is>
          <t>L'asclepiade, huit ans apres l'effondrement de la filiere</t>
        </is>
      </c>
      <c r="Q16" t="inlineStr">
        <is>
          <t>Bonjour Simon,</t>
        </is>
      </c>
      <c r="R16" t="inlineStr">
        <is>
          <t>Adresse personnelle : individualiser vraiment</t>
        </is>
      </c>
    </row>
    <row r="17" ht="15" customHeight="1" s="26">
      <c r="A17" s="41" t="inlineStr">
        <is>
          <t>A</t>
        </is>
      </c>
      <c r="B17" s="36" t="inlineStr">
        <is>
          <t>Maxime</t>
        </is>
      </c>
      <c r="C17" s="36" t="inlineStr">
        <is>
          <t>Corneau</t>
        </is>
      </c>
      <c r="D17" s="37" t="inlineStr">
        <is>
          <t>Journaliste affaires publiques pour La Semaine verte</t>
        </is>
      </c>
      <c r="E17" s="36" t="inlineStr">
        <is>
          <t>Radio-Canada (Québec)</t>
        </is>
      </c>
      <c r="F17" s="36" t="inlineStr">
        <is>
          <t>maxime.corneau@radio-canada.ca</t>
        </is>
      </c>
      <c r="G17" s="36" t="n"/>
      <c r="H17" s="36" t="inlineStr">
        <is>
          <t>Saguenay - Lac-Saint-Jean</t>
        </is>
      </c>
      <c r="I17" s="37" t="inlineStr">
        <is>
          <t>Agriculture; Environnement; Plein air; Sciences</t>
        </is>
      </c>
      <c r="J17" s="36" t="n"/>
      <c r="K17" s="42" t="inlineStr">
        <is>
          <t>Ouvrir</t>
        </is>
      </c>
      <c r="L17" s="38" t="n"/>
      <c r="M17" s="38" t="n"/>
      <c r="N17" s="39" t="n"/>
      <c r="O17" t="inlineStr">
        <is>
          <t>B</t>
        </is>
      </c>
      <c r="P17" t="inlineStr">
        <is>
          <t>Saguenay - Lac-Saint-Jean : Lasclay au premier episode de la 21e saison de Dragons' Den</t>
        </is>
      </c>
      <c r="Q17" t="inlineStr">
        <is>
          <t>Bonjour Maxime,</t>
        </is>
      </c>
    </row>
    <row r="18" ht="15" customHeight="1" s="26">
      <c r="A18" s="41" t="inlineStr">
        <is>
          <t>A</t>
        </is>
      </c>
      <c r="B18" s="36" t="inlineStr">
        <is>
          <t>Aurélia</t>
        </is>
      </c>
      <c r="C18" s="36" t="inlineStr">
        <is>
          <t>Crémoux</t>
        </is>
      </c>
      <c r="D18" s="37" t="inlineStr">
        <is>
          <t>journaliste</t>
        </is>
      </c>
      <c r="E18" s="36" t="inlineStr">
        <is>
          <t>Pigiste</t>
        </is>
      </c>
      <c r="F18" s="36" t="inlineStr">
        <is>
          <t>aurelia.cremoux@gmail.com</t>
        </is>
      </c>
      <c r="G18" s="36" t="n"/>
      <c r="H18" s="36" t="inlineStr">
        <is>
          <t>Montréal</t>
        </is>
      </c>
      <c r="I18" s="37" t="inlineStr">
        <is>
          <t>Art de vivre; Environnement; Plein air; Sciences</t>
        </is>
      </c>
      <c r="J18" s="36" t="n"/>
      <c r="K18" s="42" t="inlineStr">
        <is>
          <t>Ouvrir</t>
        </is>
      </c>
      <c r="L18" s="38" t="n"/>
      <c r="M18" s="38" t="n"/>
      <c r="N18" s="39" t="n"/>
      <c r="O18" t="inlineStr">
        <is>
          <t>F</t>
        </is>
      </c>
      <c r="P18" t="inlineStr">
        <is>
          <t>L'asclepiade contre le duvet, et ce que les tests disent vraiment</t>
        </is>
      </c>
      <c r="Q18" t="inlineStr">
        <is>
          <t>Bonjour Aurélia,</t>
        </is>
      </c>
      <c r="R18" t="inlineStr">
        <is>
          <t>Adresse personnelle : individualiser vraiment</t>
        </is>
      </c>
    </row>
    <row r="19" ht="15" customHeight="1" s="26">
      <c r="A19" s="41" t="inlineStr">
        <is>
          <t>A</t>
        </is>
      </c>
      <c r="B19" s="36" t="inlineStr">
        <is>
          <t>Catherine</t>
        </is>
      </c>
      <c r="C19" s="36" t="inlineStr">
        <is>
          <t>Dallaire</t>
        </is>
      </c>
      <c r="D19" s="37" t="inlineStr">
        <is>
          <t>Journaliste indépendante, chroniqueuse</t>
        </is>
      </c>
      <c r="E19" s="36" t="inlineStr">
        <is>
          <t>Pigiste</t>
        </is>
      </c>
      <c r="F19" s="36" t="inlineStr">
        <is>
          <t>dallai.redaction@gmail.com</t>
        </is>
      </c>
      <c r="G19" s="36" t="n"/>
      <c r="H19" s="36" t="inlineStr">
        <is>
          <t>Estrie</t>
        </is>
      </c>
      <c r="I19" s="37" t="inlineStr">
        <is>
          <t>Agriculture; Environnement; Plein air; Sciences</t>
        </is>
      </c>
      <c r="J19" s="36" t="n"/>
      <c r="K19" s="42" t="inlineStr">
        <is>
          <t>Ouvrir</t>
        </is>
      </c>
      <c r="L19" s="38" t="n"/>
      <c r="M19" s="38" t="n"/>
      <c r="N19" s="39" t="n"/>
      <c r="O19" t="inlineStr">
        <is>
          <t>C</t>
        </is>
      </c>
      <c r="P19" t="inlineStr">
        <is>
          <t>L'asclepiade, huit ans apres l'effondrement de la filiere</t>
        </is>
      </c>
      <c r="Q19" t="inlineStr">
        <is>
          <t>Bonjour Catherine,</t>
        </is>
      </c>
      <c r="R19" t="inlineStr">
        <is>
          <t>Adresse personnelle : individualiser vraiment</t>
        </is>
      </c>
    </row>
    <row r="20" ht="15" customHeight="1" s="26">
      <c r="A20" s="41" t="inlineStr">
        <is>
          <t>A</t>
        </is>
      </c>
      <c r="B20" s="36" t="inlineStr">
        <is>
          <t>Gabriel</t>
        </is>
      </c>
      <c r="C20" s="36" t="inlineStr">
        <is>
          <t>Delisle</t>
        </is>
      </c>
      <c r="D20" s="37" t="inlineStr">
        <is>
          <t>Journaliste</t>
        </is>
      </c>
      <c r="E20" s="36" t="inlineStr">
        <is>
          <t>Le Nouvelliste</t>
        </is>
      </c>
      <c r="F20" s="36" t="inlineStr">
        <is>
          <t>gabriel.delisle@lenouvelliste.qc.ca</t>
        </is>
      </c>
      <c r="G20" s="36" t="inlineStr">
        <is>
          <t>819 376-2501</t>
        </is>
      </c>
      <c r="H20" s="36" t="inlineStr">
        <is>
          <t>Mauricie</t>
        </is>
      </c>
      <c r="I20" s="37" t="inlineStr">
        <is>
          <t>Environnement; Plein air; Économie</t>
        </is>
      </c>
      <c r="J20" s="36" t="n"/>
      <c r="K20" s="42" t="inlineStr">
        <is>
          <t>Ouvrir</t>
        </is>
      </c>
      <c r="L20" s="38" t="n"/>
      <c r="M20" s="38" t="n"/>
      <c r="N20" s="39" t="n"/>
      <c r="O20" t="inlineStr">
        <is>
          <t>B</t>
        </is>
      </c>
      <c r="P20" t="inlineStr">
        <is>
          <t>Mauricie : Lasclay au premier episode de la 21e saison de Dragons' Den</t>
        </is>
      </c>
      <c r="Q20" t="inlineStr">
        <is>
          <t>Bonjour Gabriel,</t>
        </is>
      </c>
    </row>
    <row r="21" ht="15" customHeight="1" s="26">
      <c r="A21" s="41" t="inlineStr">
        <is>
          <t>A</t>
        </is>
      </c>
      <c r="B21" s="36" t="inlineStr">
        <is>
          <t>Anaïs</t>
        </is>
      </c>
      <c r="C21" s="36" t="inlineStr">
        <is>
          <t>Desjardins</t>
        </is>
      </c>
      <c r="D21" s="37" t="inlineStr">
        <is>
          <t>Journaliste</t>
        </is>
      </c>
      <c r="E21" s="36" t="inlineStr">
        <is>
          <t>Radio-Canada (Ottawa)</t>
        </is>
      </c>
      <c r="F21" s="36" t="inlineStr">
        <is>
          <t>anais.desjardins@radio-canada.ca</t>
        </is>
      </c>
      <c r="G21" s="36" t="n"/>
      <c r="H21" s="36" t="inlineStr">
        <is>
          <t>Montréal</t>
        </is>
      </c>
      <c r="I21" s="37" t="inlineStr">
        <is>
          <t>Environnement; Sciences; Économie</t>
        </is>
      </c>
      <c r="J21" s="36" t="n"/>
      <c r="K21" s="42" t="inlineStr">
        <is>
          <t>Ouvrir</t>
        </is>
      </c>
      <c r="L21" s="38" t="n"/>
      <c r="M21" s="38" t="n"/>
      <c r="N21" s="39" t="n"/>
      <c r="O21" t="inlineStr">
        <is>
          <t>D</t>
        </is>
      </c>
      <c r="P21" t="inlineStr">
        <is>
          <t>Le monarque, l'asclepiade, et l'idee qu'il faut la rendre payante</t>
        </is>
      </c>
      <c r="Q21" t="inlineStr">
        <is>
          <t>Bonjour Anaïs,</t>
        </is>
      </c>
    </row>
    <row r="22" ht="15" customHeight="1" s="26">
      <c r="A22" s="41" t="inlineStr">
        <is>
          <t>A</t>
        </is>
      </c>
      <c r="B22" s="36" t="inlineStr">
        <is>
          <t>Simon</t>
        </is>
      </c>
      <c r="C22" s="36" t="inlineStr">
        <is>
          <t>Dominé</t>
        </is>
      </c>
      <c r="D22" s="37" t="inlineStr">
        <is>
          <t>journaliste</t>
        </is>
      </c>
      <c r="E22" s="36" t="inlineStr">
        <is>
          <t>Pigiste</t>
        </is>
      </c>
      <c r="F22" s="36" t="inlineStr">
        <is>
          <t>sdomine@chga.fm</t>
        </is>
      </c>
      <c r="G22" s="36" t="inlineStr">
        <is>
          <t>8194499730</t>
        </is>
      </c>
      <c r="H22" s="36" t="inlineStr">
        <is>
          <t>Outaouais</t>
        </is>
      </c>
      <c r="I22" s="37" t="inlineStr">
        <is>
          <t>Agriculture; Environnement; Plein air; Sciences; Économie</t>
        </is>
      </c>
      <c r="J22" s="36" t="n"/>
      <c r="K22" s="42" t="inlineStr">
        <is>
          <t>Ouvrir</t>
        </is>
      </c>
      <c r="L22" s="38" t="n"/>
      <c r="M22" s="38" t="n"/>
      <c r="N22" s="39" t="n"/>
      <c r="O22" t="inlineStr">
        <is>
          <t>C</t>
        </is>
      </c>
      <c r="P22" t="inlineStr">
        <is>
          <t>L'asclepiade, huit ans apres l'effondrement de la filiere</t>
        </is>
      </c>
      <c r="Q22" t="inlineStr">
        <is>
          <t>Bonjour Simon,</t>
        </is>
      </c>
      <c r="R22" t="inlineStr">
        <is>
          <t>Adresse personnelle : individualiser vraiment</t>
        </is>
      </c>
    </row>
    <row r="23" ht="23.85" customHeight="1" s="26">
      <c r="A23" s="41" t="inlineStr">
        <is>
          <t>A</t>
        </is>
      </c>
      <c r="B23" s="36" t="inlineStr">
        <is>
          <t>Karl-Ivann</t>
        </is>
      </c>
      <c r="C23" s="36" t="inlineStr">
        <is>
          <t>Dubé</t>
        </is>
      </c>
      <c r="D23" s="37" t="inlineStr">
        <is>
          <t>Journaliste-Animateur</t>
        </is>
      </c>
      <c r="E23" s="36" t="inlineStr">
        <is>
          <t>SOCAM (Atikamekw-Montagnais)</t>
        </is>
      </c>
      <c r="F23" s="36" t="inlineStr">
        <is>
          <t>kdube@socam.net</t>
        </is>
      </c>
      <c r="G23" s="36" t="inlineStr">
        <is>
          <t>418-843-3873</t>
        </is>
      </c>
      <c r="H23" s="36" t="inlineStr">
        <is>
          <t>Lanaudière</t>
        </is>
      </c>
      <c r="I23" s="37" t="inlineStr">
        <is>
          <t>Art de vivre; Consommation; Environnement; Mode et beauté; Plein air; Sciences; Économie</t>
        </is>
      </c>
      <c r="J23" s="36" t="n"/>
      <c r="K23" s="42" t="inlineStr">
        <is>
          <t>Ouvrir</t>
        </is>
      </c>
      <c r="L23" s="38" t="n"/>
      <c r="M23" s="38" t="n"/>
      <c r="N23" s="39" t="n"/>
      <c r="O23" t="inlineStr">
        <is>
          <t>I</t>
        </is>
      </c>
      <c r="P23" t="inlineStr">
        <is>
          <t>Invite disponible : Lasclay a Dragons' Den le 17 septembre</t>
        </is>
      </c>
      <c r="Q23" t="inlineStr">
        <is>
          <t>Bonjour Karl-Ivann,</t>
        </is>
      </c>
    </row>
    <row r="24" ht="15" customHeight="1" s="26">
      <c r="A24" s="41" t="inlineStr">
        <is>
          <t>A</t>
        </is>
      </c>
      <c r="B24" s="36" t="inlineStr">
        <is>
          <t>André</t>
        </is>
      </c>
      <c r="C24" s="36" t="inlineStr">
        <is>
          <t>Fauteux</t>
        </is>
      </c>
      <c r="D24" s="37" t="inlineStr">
        <is>
          <t>Rédacteur en chef</t>
        </is>
      </c>
      <c r="E24" s="36" t="inlineStr">
        <is>
          <t>La Maison du 21e siècle</t>
        </is>
      </c>
      <c r="F24" s="36" t="inlineStr">
        <is>
          <t>andre@maisonsaine.ca</t>
        </is>
      </c>
      <c r="G24" s="36" t="inlineStr">
        <is>
          <t>450 745-0609</t>
        </is>
      </c>
      <c r="H24" s="36" t="inlineStr">
        <is>
          <t>Laurentides</t>
        </is>
      </c>
      <c r="I24" s="37" t="inlineStr">
        <is>
          <t>Consommation; Environnement; Sciences</t>
        </is>
      </c>
      <c r="J24" s="36" t="n"/>
      <c r="K24" s="42" t="inlineStr">
        <is>
          <t>Ouvrir</t>
        </is>
      </c>
      <c r="L24" s="38" t="n"/>
      <c r="M24" s="38" t="n"/>
      <c r="N24" s="39" t="n"/>
      <c r="O24" t="inlineStr">
        <is>
          <t>B</t>
        </is>
      </c>
      <c r="P24" t="inlineStr">
        <is>
          <t>Laurentides : Lasclay au premier episode de la 21e saison de Dragons' Den</t>
        </is>
      </c>
      <c r="Q24" t="inlineStr">
        <is>
          <t>Bonjour André,</t>
        </is>
      </c>
    </row>
    <row r="25" ht="15" customHeight="1" s="26">
      <c r="A25" s="41" t="inlineStr">
        <is>
          <t>A</t>
        </is>
      </c>
      <c r="B25" s="36" t="inlineStr">
        <is>
          <t>Myriam</t>
        </is>
      </c>
      <c r="C25" s="36" t="inlineStr">
        <is>
          <t>Fimbry</t>
        </is>
      </c>
      <c r="D25" s="37" t="inlineStr">
        <is>
          <t>Reporter nationale</t>
        </is>
      </c>
      <c r="E25" s="36" t="inlineStr">
        <is>
          <t>Radio-Canada (QC)</t>
        </is>
      </c>
      <c r="F25" s="36" t="inlineStr">
        <is>
          <t>myriam.fimbry@radio-canada.ca</t>
        </is>
      </c>
      <c r="G25" s="36" t="inlineStr">
        <is>
          <t>514 597-4001</t>
        </is>
      </c>
      <c r="H25" s="36" t="inlineStr">
        <is>
          <t>Montréal</t>
        </is>
      </c>
      <c r="I25" s="37" t="inlineStr">
        <is>
          <t>Agriculture; Environnement; Sciences; Économie</t>
        </is>
      </c>
      <c r="J25" s="36" t="n"/>
      <c r="K25" s="42" t="inlineStr">
        <is>
          <t>Ouvrir</t>
        </is>
      </c>
      <c r="L25" s="38" t="n"/>
      <c r="M25" s="38" t="n"/>
      <c r="N25" s="39" t="n"/>
      <c r="O25" t="inlineStr">
        <is>
          <t>C</t>
        </is>
      </c>
      <c r="P25" t="inlineStr">
        <is>
          <t>L'asclepiade, huit ans apres l'effondrement de la filiere</t>
        </is>
      </c>
      <c r="Q25" t="inlineStr">
        <is>
          <t>Bonjour Myriam,</t>
        </is>
      </c>
    </row>
    <row r="26" ht="23.85" customHeight="1" s="26">
      <c r="A26" s="41" t="inlineStr">
        <is>
          <t>A</t>
        </is>
      </c>
      <c r="B26" s="36" t="inlineStr">
        <is>
          <t>Étienne</t>
        </is>
      </c>
      <c r="C26" s="36" t="inlineStr">
        <is>
          <t>Fortin-Gauthier</t>
        </is>
      </c>
      <c r="D26" s="37" t="inlineStr">
        <is>
          <t>Journaliste</t>
        </is>
      </c>
      <c r="E26" s="36" t="inlineStr">
        <is>
          <t>Noovo Info</t>
        </is>
      </c>
      <c r="F26" s="36" t="inlineStr">
        <is>
          <t>etiennefgauthier@bellmedia.ca</t>
        </is>
      </c>
      <c r="G26" s="36" t="n"/>
      <c r="H26" s="36" t="inlineStr">
        <is>
          <t>Montréal</t>
        </is>
      </c>
      <c r="I26" s="37" t="inlineStr">
        <is>
          <t>Agriculture; Consommation; Environnement; Plein air; Économie</t>
        </is>
      </c>
      <c r="J26" s="36" t="n"/>
      <c r="K26" s="42" t="inlineStr">
        <is>
          <t>Ouvrir</t>
        </is>
      </c>
      <c r="L26" s="38" t="n"/>
      <c r="M26" s="38" t="n"/>
      <c r="N26" s="39" t="n"/>
      <c r="O26" t="inlineStr">
        <is>
          <t>I</t>
        </is>
      </c>
      <c r="P26" t="inlineStr">
        <is>
          <t>Invite disponible : Lasclay a Dragons' Den le 17 septembre</t>
        </is>
      </c>
      <c r="Q26" t="inlineStr">
        <is>
          <t>Bonjour Étienne,</t>
        </is>
      </c>
    </row>
    <row r="27" ht="23.85" customHeight="1" s="26">
      <c r="A27" s="41" t="inlineStr">
        <is>
          <t>A</t>
        </is>
      </c>
      <c r="B27" s="36" t="inlineStr">
        <is>
          <t>Johanne</t>
        </is>
      </c>
      <c r="C27" s="36" t="inlineStr">
        <is>
          <t>Fournier</t>
        </is>
      </c>
      <c r="D27" s="37" t="inlineStr">
        <is>
          <t>Journaliste-photographe</t>
        </is>
      </c>
      <c r="E27" s="36" t="inlineStr">
        <is>
          <t>Le Soleil</t>
        </is>
      </c>
      <c r="F27" s="36" t="inlineStr">
        <is>
          <t>j.fournier@telus.net</t>
        </is>
      </c>
      <c r="G27" s="36" t="inlineStr">
        <is>
          <t>418 737-9665</t>
        </is>
      </c>
      <c r="H27" s="36" t="inlineStr">
        <is>
          <t>Est-du-Québec</t>
        </is>
      </c>
      <c r="I27" s="37" t="inlineStr">
        <is>
          <t>Agriculture; Art de vivre; Consommation; Environnement; Plein air; Sciences; Économie</t>
        </is>
      </c>
      <c r="J27" s="36" t="n"/>
      <c r="K27" s="42" t="inlineStr">
        <is>
          <t>Ouvrir</t>
        </is>
      </c>
      <c r="L27" s="38" t="n"/>
      <c r="M27" s="38" t="n"/>
      <c r="N27" s="39" t="n"/>
      <c r="O27" t="inlineStr">
        <is>
          <t>B</t>
        </is>
      </c>
      <c r="P27" t="inlineStr">
        <is>
          <t>Est-du-Québec : Lasclay au premier episode de la 21e saison de Dragons' Den</t>
        </is>
      </c>
      <c r="Q27" t="inlineStr">
        <is>
          <t>Bonjour Johanne,</t>
        </is>
      </c>
    </row>
    <row r="28" ht="15" customHeight="1" s="26">
      <c r="A28" s="41" t="inlineStr">
        <is>
          <t>A</t>
        </is>
      </c>
      <c r="B28" s="36" t="inlineStr">
        <is>
          <t>Jean</t>
        </is>
      </c>
      <c r="C28" s="36" t="inlineStr">
        <is>
          <t>Garon</t>
        </is>
      </c>
      <c r="D28" s="37" t="inlineStr">
        <is>
          <t>Journaliste pigiste spécialisé</t>
        </is>
      </c>
      <c r="E28" s="36" t="inlineStr">
        <is>
          <t>Pigiste</t>
        </is>
      </c>
      <c r="F28" s="36" t="inlineStr">
        <is>
          <t>jeangaron@videotron.ca</t>
        </is>
      </c>
      <c r="G28" s="36" t="inlineStr">
        <is>
          <t>450-465-3726</t>
        </is>
      </c>
      <c r="H28" s="36" t="inlineStr">
        <is>
          <t>Montréal</t>
        </is>
      </c>
      <c r="I28" s="37" t="inlineStr">
        <is>
          <t>Consommation; Environnement; Sciences; Économie</t>
        </is>
      </c>
      <c r="J28" s="36" t="n"/>
      <c r="K28" s="42" t="inlineStr">
        <is>
          <t>Ouvrir</t>
        </is>
      </c>
      <c r="L28" s="38" t="n"/>
      <c r="M28" s="38" t="n"/>
      <c r="N28" s="39" t="n"/>
      <c r="O28" t="inlineStr">
        <is>
          <t>D</t>
        </is>
      </c>
      <c r="P28" t="inlineStr">
        <is>
          <t>Le monarque, l'asclepiade, et l'idee qu'il faut la rendre payante</t>
        </is>
      </c>
      <c r="Q28" t="inlineStr">
        <is>
          <t>Bonjour Jean,</t>
        </is>
      </c>
      <c r="R28" t="inlineStr">
        <is>
          <t>Adresse personnelle : individualiser vraiment</t>
        </is>
      </c>
    </row>
    <row r="29" ht="15" customHeight="1" s="26">
      <c r="A29" s="41" t="inlineStr">
        <is>
          <t>A</t>
        </is>
      </c>
      <c r="B29" s="36" t="inlineStr">
        <is>
          <t>Cécile</t>
        </is>
      </c>
      <c r="C29" s="36" t="inlineStr">
        <is>
          <t>Gladel</t>
        </is>
      </c>
      <c r="D29" s="37" t="inlineStr">
        <is>
          <t>Journaliste - recherchiste - édimestre</t>
        </is>
      </c>
      <c r="E29" s="36" t="inlineStr">
        <is>
          <t>Radio-Canada</t>
        </is>
      </c>
      <c r="F29" s="36" t="inlineStr">
        <is>
          <t>cecile.gladel@gmail.com</t>
        </is>
      </c>
      <c r="G29" s="36" t="n"/>
      <c r="H29" s="36" t="inlineStr">
        <is>
          <t>Montréal</t>
        </is>
      </c>
      <c r="I29" s="37" t="inlineStr">
        <is>
          <t>Art de vivre; Consommation; Environnement; Plein air</t>
        </is>
      </c>
      <c r="J29" s="36" t="n"/>
      <c r="K29" s="42" t="inlineStr">
        <is>
          <t>Ouvrir</t>
        </is>
      </c>
      <c r="L29" s="38" t="n"/>
      <c r="M29" s="38" t="n"/>
      <c r="N29" s="39" t="n"/>
      <c r="O29" t="inlineStr">
        <is>
          <t>I</t>
        </is>
      </c>
      <c r="P29" t="inlineStr">
        <is>
          <t>Invite disponible : Lasclay a Dragons' Den le 17 septembre</t>
        </is>
      </c>
      <c r="Q29" t="inlineStr">
        <is>
          <t>Bonjour Cécile,</t>
        </is>
      </c>
      <c r="R29" t="inlineStr">
        <is>
          <t>Adresse personnelle : individualiser vraiment</t>
        </is>
      </c>
    </row>
    <row r="30" ht="15" customHeight="1" s="26">
      <c r="A30" s="41" t="inlineStr">
        <is>
          <t>A</t>
        </is>
      </c>
      <c r="B30" s="36" t="inlineStr">
        <is>
          <t>Marieke</t>
        </is>
      </c>
      <c r="C30" s="36" t="inlineStr">
        <is>
          <t>Glorieux-Stryckman</t>
        </is>
      </c>
      <c r="D30" s="37" t="inlineStr">
        <is>
          <t>Pupitre web et journaliste surnuméraire</t>
        </is>
      </c>
      <c r="E30" s="36" t="inlineStr">
        <is>
          <t>Le Devoir</t>
        </is>
      </c>
      <c r="F30" s="36" t="inlineStr">
        <is>
          <t>mariekestryckman@gmail.com</t>
        </is>
      </c>
      <c r="G30" s="36" t="inlineStr">
        <is>
          <t>(438) 499-4194</t>
        </is>
      </c>
      <c r="H30" s="36" t="inlineStr">
        <is>
          <t>Montréal</t>
        </is>
      </c>
      <c r="I30" s="37" t="inlineStr">
        <is>
          <t>Environnement; Plein air; Sciences; Économie</t>
        </is>
      </c>
      <c r="J30" s="36" t="n"/>
      <c r="K30" s="42" t="inlineStr">
        <is>
          <t>Ouvrir</t>
        </is>
      </c>
      <c r="L30" s="38" t="n"/>
      <c r="M30" s="38" t="n"/>
      <c r="N30" s="39" t="n"/>
      <c r="O30" t="inlineStr">
        <is>
          <t>F</t>
        </is>
      </c>
      <c r="P30" t="inlineStr">
        <is>
          <t>L'asclepiade contre le duvet, et ce que les tests disent vraiment</t>
        </is>
      </c>
      <c r="Q30" t="inlineStr">
        <is>
          <t>Bonjour Marieke,</t>
        </is>
      </c>
      <c r="R30" t="inlineStr">
        <is>
          <t>Adresse personnelle : individualiser vraiment</t>
        </is>
      </c>
    </row>
    <row r="31" ht="23.85" customHeight="1" s="26">
      <c r="A31" s="41" t="inlineStr">
        <is>
          <t>A</t>
        </is>
      </c>
      <c r="B31" s="36" t="inlineStr">
        <is>
          <t>Maude</t>
        </is>
      </c>
      <c r="C31" s="36" t="inlineStr">
        <is>
          <t>Goyer</t>
        </is>
      </c>
      <c r="D31" s="37" t="inlineStr">
        <is>
          <t>Journaliste et chroniqueuse</t>
        </is>
      </c>
      <c r="E31" s="36" t="inlineStr">
        <is>
          <t>Pigiste</t>
        </is>
      </c>
      <c r="F31" s="36" t="inlineStr">
        <is>
          <t>maude.goyer@hec.ca</t>
        </is>
      </c>
      <c r="G31" s="36" t="inlineStr">
        <is>
          <t>5149633588</t>
        </is>
      </c>
      <c r="H31" s="36" t="inlineStr">
        <is>
          <t>Montréal</t>
        </is>
      </c>
      <c r="I31" s="37" t="inlineStr">
        <is>
          <t>Art de vivre; Consommation; Environnement; Plein air; Économie</t>
        </is>
      </c>
      <c r="J31" s="36" t="n"/>
      <c r="K31" s="42" t="inlineStr">
        <is>
          <t>Ouvrir</t>
        </is>
      </c>
      <c r="L31" s="38" t="n"/>
      <c r="M31" s="38" t="n"/>
      <c r="N31" s="39" t="n"/>
      <c r="O31" t="inlineStr">
        <is>
          <t>F</t>
        </is>
      </c>
      <c r="P31" t="inlineStr">
        <is>
          <t>L'asclepiade contre le duvet, et ce que les tests disent vraiment</t>
        </is>
      </c>
      <c r="Q31" t="inlineStr">
        <is>
          <t>Bonjour Maude,</t>
        </is>
      </c>
      <c r="R31" t="inlineStr">
        <is>
          <t>Adresse personnelle : individualiser vraiment</t>
        </is>
      </c>
    </row>
    <row r="32" ht="15" customHeight="1" s="26">
      <c r="A32" s="41" t="inlineStr">
        <is>
          <t>A</t>
        </is>
      </c>
      <c r="B32" s="36" t="inlineStr">
        <is>
          <t>Pauline</t>
        </is>
      </c>
      <c r="C32" s="36" t="inlineStr">
        <is>
          <t>Gravel</t>
        </is>
      </c>
      <c r="D32" s="37" t="inlineStr">
        <is>
          <t>Journaliste</t>
        </is>
      </c>
      <c r="E32" s="36" t="inlineStr">
        <is>
          <t>Le Devoir</t>
        </is>
      </c>
      <c r="F32" s="36" t="inlineStr">
        <is>
          <t>pgravel@ledevoir.com</t>
        </is>
      </c>
      <c r="G32" s="36" t="inlineStr">
        <is>
          <t>514 985-3333</t>
        </is>
      </c>
      <c r="H32" s="36" t="inlineStr">
        <is>
          <t>Montréal</t>
        </is>
      </c>
      <c r="I32" s="37" t="inlineStr">
        <is>
          <t>Agriculture; Environnement; Sciences</t>
        </is>
      </c>
      <c r="J32" s="36" t="n"/>
      <c r="K32" s="42" t="inlineStr">
        <is>
          <t>Ouvrir</t>
        </is>
      </c>
      <c r="L32" s="38" t="n"/>
      <c r="M32" s="38" t="n"/>
      <c r="N32" s="39" t="n"/>
      <c r="O32" t="inlineStr">
        <is>
          <t>C</t>
        </is>
      </c>
      <c r="P32" t="inlineStr">
        <is>
          <t>L'asclepiade, huit ans apres l'effondrement de la filiere</t>
        </is>
      </c>
      <c r="Q32" t="inlineStr">
        <is>
          <t>Bonjour Pauline,</t>
        </is>
      </c>
    </row>
    <row r="33" ht="23.85" customHeight="1" s="26">
      <c r="A33" s="41" t="inlineStr">
        <is>
          <t>A</t>
        </is>
      </c>
      <c r="B33" s="36" t="inlineStr">
        <is>
          <t>Bernard</t>
        </is>
      </c>
      <c r="C33" s="36" t="inlineStr">
        <is>
          <t>Hervieux</t>
        </is>
      </c>
      <c r="D33" s="37" t="inlineStr">
        <is>
          <t>Journaliste-Animateur</t>
        </is>
      </c>
      <c r="E33" s="36" t="inlineStr">
        <is>
          <t>SOCAM (Atikamekw-Montagnais)</t>
        </is>
      </c>
      <c r="F33" s="36" t="inlineStr">
        <is>
          <t>bhervieux@socam.net</t>
        </is>
      </c>
      <c r="G33" s="36" t="inlineStr">
        <is>
          <t>418-843-3873</t>
        </is>
      </c>
      <c r="H33" s="36" t="inlineStr">
        <is>
          <t>Capitale-Nationale/Chaudière-Appalaches</t>
        </is>
      </c>
      <c r="I33" s="37" t="inlineStr">
        <is>
          <t>Art de vivre; Consommation; Environnement; Mode et beauté; Plein air; Sciences; Économie</t>
        </is>
      </c>
      <c r="J33" s="36" t="n"/>
      <c r="K33" s="42" t="inlineStr">
        <is>
          <t>Ouvrir</t>
        </is>
      </c>
      <c r="L33" s="38" t="n"/>
      <c r="M33" s="38" t="n"/>
      <c r="N33" s="39" t="n"/>
      <c r="O33" t="inlineStr">
        <is>
          <t>I</t>
        </is>
      </c>
      <c r="P33" t="inlineStr">
        <is>
          <t>Invite disponible : Lasclay a Dragons' Den le 17 septembre</t>
        </is>
      </c>
      <c r="Q33" t="inlineStr">
        <is>
          <t>Bonjour Bernard,</t>
        </is>
      </c>
    </row>
    <row r="34" ht="23.85" customHeight="1" s="26">
      <c r="A34" s="41" t="inlineStr">
        <is>
          <t>A</t>
        </is>
      </c>
      <c r="B34" s="36" t="inlineStr">
        <is>
          <t>Leïla</t>
        </is>
      </c>
      <c r="C34" s="36" t="inlineStr">
        <is>
          <t>Jolin-Dahel</t>
        </is>
      </c>
      <c r="D34" s="37" t="inlineStr">
        <is>
          <t>Journaliste</t>
        </is>
      </c>
      <c r="E34" s="36" t="inlineStr">
        <is>
          <t>Le Devoir</t>
        </is>
      </c>
      <c r="F34" s="36" t="inlineStr">
        <is>
          <t>leila.jolindahel@gmail.com</t>
        </is>
      </c>
      <c r="G34" s="36" t="inlineStr">
        <is>
          <t>514 690-5271</t>
        </is>
      </c>
      <c r="H34" s="36" t="inlineStr">
        <is>
          <t>Montréal</t>
        </is>
      </c>
      <c r="I34" s="37" t="inlineStr">
        <is>
          <t>Agriculture; Art de vivre; Consommation; Environnement; Mode et beauté; Plein air; Sciences; Économie</t>
        </is>
      </c>
      <c r="J34" s="36" t="n"/>
      <c r="K34" s="42" t="inlineStr">
        <is>
          <t>Ouvrir</t>
        </is>
      </c>
      <c r="L34" s="38" t="n"/>
      <c r="M34" s="38" t="n"/>
      <c r="N34" s="39" t="n"/>
      <c r="O34" t="inlineStr">
        <is>
          <t>C</t>
        </is>
      </c>
      <c r="P34" t="inlineStr">
        <is>
          <t>L'asclepiade, huit ans apres l'effondrement de la filiere</t>
        </is>
      </c>
      <c r="Q34" t="inlineStr">
        <is>
          <t>Bonjour Leïla,</t>
        </is>
      </c>
      <c r="R34" t="inlineStr">
        <is>
          <t>Adresse personnelle : individualiser vraiment</t>
        </is>
      </c>
    </row>
    <row r="35" ht="15" customHeight="1" s="26">
      <c r="A35" s="41" t="inlineStr">
        <is>
          <t>A</t>
        </is>
      </c>
      <c r="B35" s="36" t="inlineStr">
        <is>
          <t>Kodjo Edjinam Nulagnon</t>
        </is>
      </c>
      <c r="C35" s="36" t="inlineStr">
        <is>
          <t>LOGO</t>
        </is>
      </c>
      <c r="D35" s="37" t="inlineStr">
        <is>
          <t>JOURNALISTE SENIOR</t>
        </is>
      </c>
      <c r="E35" s="36" t="inlineStr">
        <is>
          <t>Pigiste</t>
        </is>
      </c>
      <c r="F35" s="36" t="inlineStr">
        <is>
          <t>alphonse@flofm.ca</t>
        </is>
      </c>
      <c r="G35" s="36" t="inlineStr">
        <is>
          <t>4187222566</t>
        </is>
      </c>
      <c r="H35" s="36" t="inlineStr">
        <is>
          <t>Est-du-Québec</t>
        </is>
      </c>
      <c r="I35" s="37" t="inlineStr">
        <is>
          <t>Art de vivre; Environnement; Sciences; Économie</t>
        </is>
      </c>
      <c r="J35" s="36" t="n"/>
      <c r="K35" s="42" t="inlineStr">
        <is>
          <t>Ouvrir</t>
        </is>
      </c>
      <c r="L35" s="38" t="n"/>
      <c r="M35" s="38" t="n"/>
      <c r="N35" s="39" t="n"/>
      <c r="O35" t="inlineStr">
        <is>
          <t>D</t>
        </is>
      </c>
      <c r="P35" t="inlineStr">
        <is>
          <t>Le monarque, l'asclepiade, et l'idee qu'il faut la rendre payante</t>
        </is>
      </c>
      <c r="Q35" t="inlineStr">
        <is>
          <t>Bonjour Kodjo Edjinam Nulagnon,</t>
        </is>
      </c>
      <c r="R35" t="inlineStr">
        <is>
          <t>Adresse personnelle : individualiser vraiment</t>
        </is>
      </c>
    </row>
    <row r="36" ht="15" customHeight="1" s="26">
      <c r="A36" s="41" t="inlineStr">
        <is>
          <t>A</t>
        </is>
      </c>
      <c r="B36" s="36" t="inlineStr">
        <is>
          <t>Annie</t>
        </is>
      </c>
      <c r="C36" s="36" t="inlineStr">
        <is>
          <t>Labrecque</t>
        </is>
      </c>
      <c r="D36" s="37" t="inlineStr">
        <is>
          <t>Journaliste</t>
        </is>
      </c>
      <c r="E36" s="36" t="inlineStr">
        <is>
          <t>Québec Science</t>
        </is>
      </c>
      <c r="F36" s="36" t="inlineStr">
        <is>
          <t>alabrecque@live.ca</t>
        </is>
      </c>
      <c r="G36" s="36" t="n"/>
      <c r="H36" s="36" t="inlineStr">
        <is>
          <t>Montréal</t>
        </is>
      </c>
      <c r="I36" s="37" t="inlineStr">
        <is>
          <t>Agriculture; Environnement; Sciences</t>
        </is>
      </c>
      <c r="J36" s="36" t="n"/>
      <c r="K36" s="42" t="inlineStr">
        <is>
          <t>Ouvrir</t>
        </is>
      </c>
      <c r="L36" s="38" t="n"/>
      <c r="M36" s="38" t="n"/>
      <c r="N36" s="39" t="n"/>
      <c r="O36" t="inlineStr">
        <is>
          <t>C</t>
        </is>
      </c>
      <c r="P36" t="inlineStr">
        <is>
          <t>L'asclepiade, huit ans apres l'effondrement de la filiere</t>
        </is>
      </c>
      <c r="Q36" t="inlineStr">
        <is>
          <t>Bonjour Annie,</t>
        </is>
      </c>
    </row>
    <row r="37" ht="15" customHeight="1" s="26">
      <c r="A37" s="41" t="inlineStr">
        <is>
          <t>A</t>
        </is>
      </c>
      <c r="B37" s="36" t="inlineStr">
        <is>
          <t>Marianne</t>
        </is>
      </c>
      <c r="C37" s="36" t="inlineStr">
        <is>
          <t>Lachapelle</t>
        </is>
      </c>
      <c r="D37" s="37" t="inlineStr">
        <is>
          <t>Journaliste</t>
        </is>
      </c>
      <c r="E37" s="36" t="inlineStr">
        <is>
          <t>TVA Nouvelles</t>
        </is>
      </c>
      <c r="F37" s="36" t="inlineStr">
        <is>
          <t>marianne.lachapelle@tva.ca</t>
        </is>
      </c>
      <c r="G37" s="36" t="n"/>
      <c r="H37" s="36" t="inlineStr">
        <is>
          <t>Estrie</t>
        </is>
      </c>
      <c r="I37" s="37" t="inlineStr">
        <is>
          <t>Agriculture; Consommation; Environnement; Plein air</t>
        </is>
      </c>
      <c r="J37" s="36" t="n"/>
      <c r="K37" s="42" t="inlineStr">
        <is>
          <t>Ouvrir</t>
        </is>
      </c>
      <c r="L37" s="38" t="n"/>
      <c r="M37" s="38" t="n"/>
      <c r="N37" s="39" t="n"/>
      <c r="O37" t="inlineStr">
        <is>
          <t>I</t>
        </is>
      </c>
      <c r="P37" t="inlineStr">
        <is>
          <t>Invite disponible : Lasclay a Dragons' Den le 17 septembre</t>
        </is>
      </c>
      <c r="Q37" t="inlineStr">
        <is>
          <t>Bonjour Marianne,</t>
        </is>
      </c>
    </row>
    <row r="38" ht="15" customHeight="1" s="26">
      <c r="A38" s="41" t="inlineStr">
        <is>
          <t>A</t>
        </is>
      </c>
      <c r="B38" s="36" t="inlineStr">
        <is>
          <t>Sophie</t>
        </is>
      </c>
      <c r="C38" s="36" t="inlineStr">
        <is>
          <t>Lachapelle</t>
        </is>
      </c>
      <c r="D38" s="37" t="inlineStr">
        <is>
          <t>Journaliste</t>
        </is>
      </c>
      <c r="E38" s="36" t="inlineStr">
        <is>
          <t>Nouveau Projet</t>
        </is>
      </c>
      <c r="F38" s="36" t="inlineStr">
        <is>
          <t>sophiela8@me.com</t>
        </is>
      </c>
      <c r="G38" s="36" t="inlineStr">
        <is>
          <t>514-569-0880</t>
        </is>
      </c>
      <c r="H38" s="36" t="inlineStr">
        <is>
          <t>Montréal</t>
        </is>
      </c>
      <c r="I38" s="37" t="inlineStr">
        <is>
          <t>Agriculture; Environnement; Économie</t>
        </is>
      </c>
      <c r="J38" s="36" t="n"/>
      <c r="K38" s="42" t="inlineStr">
        <is>
          <t>Ouvrir</t>
        </is>
      </c>
      <c r="L38" s="38" t="n"/>
      <c r="M38" s="38" t="n"/>
      <c r="N38" s="39" t="n"/>
      <c r="O38" t="inlineStr">
        <is>
          <t>C</t>
        </is>
      </c>
      <c r="P38" t="inlineStr">
        <is>
          <t>L'asclepiade, huit ans apres l'effondrement de la filiere</t>
        </is>
      </c>
      <c r="Q38" t="inlineStr">
        <is>
          <t>Bonjour Sophie,</t>
        </is>
      </c>
      <c r="R38" t="inlineStr">
        <is>
          <t>Adresse personnelle : individualiser vraiment</t>
        </is>
      </c>
    </row>
    <row r="39" ht="15" customHeight="1" s="26">
      <c r="A39" s="41" t="inlineStr">
        <is>
          <t>A</t>
        </is>
      </c>
      <c r="B39" s="36" t="inlineStr">
        <is>
          <t>Alain</t>
        </is>
      </c>
      <c r="C39" s="36" t="inlineStr">
        <is>
          <t>Laforest</t>
        </is>
      </c>
      <c r="D39" s="37" t="inlineStr">
        <is>
          <t>Correspondant parlementaire</t>
        </is>
      </c>
      <c r="E39" s="36" t="inlineStr">
        <is>
          <t>TVA Nouvelles</t>
        </is>
      </c>
      <c r="F39" s="36" t="inlineStr">
        <is>
          <t>alain.laforest@tva.ca</t>
        </is>
      </c>
      <c r="G39" s="36" t="n"/>
      <c r="H39" s="36" t="inlineStr">
        <is>
          <t>Capitale-Nationale/Chaudière-Appalaches</t>
        </is>
      </c>
      <c r="I39" s="37" t="inlineStr">
        <is>
          <t>Environnement; Économie</t>
        </is>
      </c>
      <c r="J39" s="36" t="n"/>
      <c r="K39" s="42" t="inlineStr">
        <is>
          <t>Ouvrir</t>
        </is>
      </c>
      <c r="L39" s="38" t="n"/>
      <c r="M39" s="38" t="n"/>
      <c r="N39" s="39" t="n"/>
      <c r="O39" t="inlineStr">
        <is>
          <t>I</t>
        </is>
      </c>
      <c r="P39" t="inlineStr">
        <is>
          <t>Invite disponible : Lasclay a Dragons' Den le 17 septembre</t>
        </is>
      </c>
      <c r="Q39" t="inlineStr">
        <is>
          <t>Bonjour Alain,</t>
        </is>
      </c>
    </row>
    <row r="40" ht="15" customHeight="1" s="26">
      <c r="A40" s="41" t="inlineStr">
        <is>
          <t>A</t>
        </is>
      </c>
      <c r="B40" s="36" t="inlineStr">
        <is>
          <t>Mikaël</t>
        </is>
      </c>
      <c r="C40" s="36" t="inlineStr">
        <is>
          <t>Lalancette</t>
        </is>
      </c>
      <c r="D40" s="37" t="inlineStr">
        <is>
          <t>Journaliste</t>
        </is>
      </c>
      <c r="E40" s="36" t="inlineStr">
        <is>
          <t>Le Soleil</t>
        </is>
      </c>
      <c r="F40" s="36" t="inlineStr">
        <is>
          <t>mlalancette@lesoleil.com</t>
        </is>
      </c>
      <c r="G40" s="36" t="n"/>
      <c r="H40" s="36" t="inlineStr">
        <is>
          <t>Capitale-Nationale/Chaudière-Appalaches</t>
        </is>
      </c>
      <c r="I40" s="37" t="inlineStr">
        <is>
          <t>Économie</t>
        </is>
      </c>
      <c r="J40" s="36" t="n"/>
      <c r="K40" s="42" t="inlineStr">
        <is>
          <t>Ouvrir</t>
        </is>
      </c>
      <c r="L40" s="38" t="n"/>
      <c r="M40" s="38" t="n"/>
      <c r="N40" s="39" t="n"/>
      <c r="O40" t="inlineStr">
        <is>
          <t>B</t>
        </is>
      </c>
      <c r="P40" t="inlineStr">
        <is>
          <t>Capitale-Nationale/Chaudière-Appalaches : Lasclay au premier episode de la 21e saison de Dragons' Den</t>
        </is>
      </c>
      <c r="Q40" t="inlineStr">
        <is>
          <t>Bonjour Mikaël,</t>
        </is>
      </c>
    </row>
    <row r="41" ht="15" customHeight="1" s="26">
      <c r="A41" s="41" t="inlineStr">
        <is>
          <t>A</t>
        </is>
      </c>
      <c r="B41" s="36" t="inlineStr">
        <is>
          <t>Jean-Luc</t>
        </is>
      </c>
      <c r="C41" s="36" t="inlineStr">
        <is>
          <t>Lavallée</t>
        </is>
      </c>
      <c r="D41" s="37" t="inlineStr">
        <is>
          <t>Journaliste</t>
        </is>
      </c>
      <c r="E41" s="36" t="inlineStr">
        <is>
          <t>Protégez-Vous</t>
        </is>
      </c>
      <c r="F41" s="36" t="inlineStr">
        <is>
          <t>jllavallee@protegez-vous.ca</t>
        </is>
      </c>
      <c r="G41" s="36" t="inlineStr">
        <is>
          <t>514-461-3000, poste 105</t>
        </is>
      </c>
      <c r="H41" s="36" t="inlineStr">
        <is>
          <t>Capitale-Nationale/Chaudière-Appalaches</t>
        </is>
      </c>
      <c r="I41" s="37" t="inlineStr">
        <is>
          <t>Consommation; Économie</t>
        </is>
      </c>
      <c r="J41" s="36" t="n"/>
      <c r="K41" s="42" t="inlineStr">
        <is>
          <t>Ouvrir</t>
        </is>
      </c>
      <c r="L41" s="38" t="n"/>
      <c r="M41" s="38" t="n"/>
      <c r="N41" s="39" t="n"/>
      <c r="O41" t="inlineStr">
        <is>
          <t>E</t>
        </is>
      </c>
      <c r="P41" t="inlineStr">
        <is>
          <t>Une PME qui a rapatrie sa production, puis en a delocalise une partie</t>
        </is>
      </c>
      <c r="Q41" t="inlineStr">
        <is>
          <t>Bonjour Jean-Luc,</t>
        </is>
      </c>
    </row>
    <row r="42" ht="15" customHeight="1" s="26">
      <c r="A42" s="41" t="inlineStr">
        <is>
          <t>A</t>
        </is>
      </c>
      <c r="B42" s="36" t="inlineStr">
        <is>
          <t>Jean-Francois</t>
        </is>
      </c>
      <c r="C42" s="36" t="inlineStr">
        <is>
          <t>Leblanc</t>
        </is>
      </c>
      <c r="D42" s="37" t="inlineStr">
        <is>
          <t>Photographe/vidéaste de reportage</t>
        </is>
      </c>
      <c r="E42" s="36" t="inlineStr">
        <is>
          <t>Pigiste</t>
        </is>
      </c>
      <c r="F42" s="36" t="inlineStr">
        <is>
          <t>jfleblanc@agencestockphoto.com</t>
        </is>
      </c>
      <c r="G42" s="36" t="inlineStr">
        <is>
          <t>514 235-4960</t>
        </is>
      </c>
      <c r="H42" s="36" t="inlineStr">
        <is>
          <t>Laurentides</t>
        </is>
      </c>
      <c r="I42" s="37" t="inlineStr">
        <is>
          <t>Environnement; Plein air; Sciences</t>
        </is>
      </c>
      <c r="J42" s="36" t="n"/>
      <c r="K42" s="42" t="inlineStr">
        <is>
          <t>Ouvrir</t>
        </is>
      </c>
      <c r="L42" s="38" t="n"/>
      <c r="M42" s="38" t="n"/>
      <c r="N42" s="39" t="n"/>
      <c r="O42" t="inlineStr">
        <is>
          <t>F</t>
        </is>
      </c>
      <c r="P42" t="inlineStr">
        <is>
          <t>L'asclepiade contre le duvet, et ce que les tests disent vraiment</t>
        </is>
      </c>
      <c r="Q42" t="inlineStr">
        <is>
          <t>Bonjour Jean-Francois,</t>
        </is>
      </c>
      <c r="R42" t="inlineStr">
        <is>
          <t>Adresse personnelle : individualiser vraiment</t>
        </is>
      </c>
    </row>
    <row r="43" ht="15" customHeight="1" s="26">
      <c r="A43" s="41" t="inlineStr">
        <is>
          <t>A</t>
        </is>
      </c>
      <c r="B43" s="36" t="inlineStr">
        <is>
          <t>Julie</t>
        </is>
      </c>
      <c r="C43" s="36" t="inlineStr">
        <is>
          <t>Leduc</t>
        </is>
      </c>
      <c r="D43" s="37" t="inlineStr">
        <is>
          <t>Journaliste</t>
        </is>
      </c>
      <c r="E43" s="36" t="inlineStr">
        <is>
          <t>Naître et Grandir</t>
        </is>
      </c>
      <c r="F43" s="36" t="inlineStr">
        <is>
          <t>julie.leduc@cgocable.ca</t>
        </is>
      </c>
      <c r="G43" s="36" t="n"/>
      <c r="H43" s="36" t="inlineStr">
        <is>
          <t>Montréal</t>
        </is>
      </c>
      <c r="I43" s="37" t="inlineStr">
        <is>
          <t>Art de vivre; Consommation; Environnement; Plein air</t>
        </is>
      </c>
      <c r="J43" s="36" t="n"/>
      <c r="K43" s="42" t="inlineStr">
        <is>
          <t>Ouvrir</t>
        </is>
      </c>
      <c r="L43" s="38" t="n"/>
      <c r="M43" s="38" t="n"/>
      <c r="N43" s="39" t="n"/>
      <c r="O43" t="inlineStr">
        <is>
          <t>F</t>
        </is>
      </c>
      <c r="P43" t="inlineStr">
        <is>
          <t>L'asclepiade contre le duvet, et ce que les tests disent vraiment</t>
        </is>
      </c>
      <c r="Q43" t="inlineStr">
        <is>
          <t>Bonjour Julie,</t>
        </is>
      </c>
    </row>
    <row r="44" ht="23.85" customHeight="1" s="26">
      <c r="A44" s="41" t="inlineStr">
        <is>
          <t>A</t>
        </is>
      </c>
      <c r="B44" s="36" t="inlineStr">
        <is>
          <t>Annie</t>
        </is>
      </c>
      <c r="C44" s="36" t="inlineStr">
        <is>
          <t>Martin</t>
        </is>
      </c>
      <c r="D44" s="37" t="inlineStr">
        <is>
          <t>journaliste</t>
        </is>
      </c>
      <c r="E44" s="36" t="inlineStr">
        <is>
          <t>Pigiste</t>
        </is>
      </c>
      <c r="F44" s="36" t="inlineStr">
        <is>
          <t>amartin@chga.fm</t>
        </is>
      </c>
      <c r="G44" s="36" t="inlineStr">
        <is>
          <t>8194499730</t>
        </is>
      </c>
      <c r="H44" s="36" t="inlineStr">
        <is>
          <t>Outaouais</t>
        </is>
      </c>
      <c r="I44" s="37" t="inlineStr">
        <is>
          <t>Agriculture; Consommation; Environnement; Plein air; Sciences; Économie</t>
        </is>
      </c>
      <c r="J44" s="36" t="n"/>
      <c r="K44" s="42" t="inlineStr">
        <is>
          <t>Ouvrir</t>
        </is>
      </c>
      <c r="L44" s="38" t="n"/>
      <c r="M44" s="38" t="n"/>
      <c r="N44" s="39" t="n"/>
      <c r="O44" t="inlineStr">
        <is>
          <t>C</t>
        </is>
      </c>
      <c r="P44" t="inlineStr">
        <is>
          <t>L'asclepiade, huit ans apres l'effondrement de la filiere</t>
        </is>
      </c>
      <c r="Q44" t="inlineStr">
        <is>
          <t>Bonjour Annie,</t>
        </is>
      </c>
      <c r="R44" t="inlineStr">
        <is>
          <t>Adresse personnelle : individualiser vraiment</t>
        </is>
      </c>
    </row>
    <row r="45" ht="23.85" customHeight="1" s="26">
      <c r="A45" s="41" t="inlineStr">
        <is>
          <t>A</t>
        </is>
      </c>
      <c r="B45" s="36" t="inlineStr">
        <is>
          <t>Réjean</t>
        </is>
      </c>
      <c r="C45" s="36" t="inlineStr">
        <is>
          <t>Martin</t>
        </is>
      </c>
      <c r="D45" s="37" t="inlineStr">
        <is>
          <t>Journaliste Le Bulletin des Chenaux</t>
        </is>
      </c>
      <c r="E45" s="36" t="inlineStr">
        <is>
          <t>Pigiste</t>
        </is>
      </c>
      <c r="F45" s="36" t="inlineStr">
        <is>
          <t>redaction.mekinac@lebulletindeschenaux.com</t>
        </is>
      </c>
      <c r="G45" s="36" t="inlineStr">
        <is>
          <t>418 507 1940</t>
        </is>
      </c>
      <c r="H45" s="36" t="inlineStr">
        <is>
          <t>Mauricie</t>
        </is>
      </c>
      <c r="I45" s="37" t="inlineStr">
        <is>
          <t>Agriculture; Consommation; Environnement; Plein air; Sciences; Économie</t>
        </is>
      </c>
      <c r="J45" s="36" t="n"/>
      <c r="K45" s="42" t="inlineStr">
        <is>
          <t>Ouvrir</t>
        </is>
      </c>
      <c r="L45" s="38" t="n"/>
      <c r="M45" s="38" t="n"/>
      <c r="N45" s="39" t="n"/>
      <c r="O45" t="inlineStr">
        <is>
          <t>C</t>
        </is>
      </c>
      <c r="P45" t="inlineStr">
        <is>
          <t>L'asclepiade, huit ans apres l'effondrement de la filiere</t>
        </is>
      </c>
      <c r="Q45" t="inlineStr">
        <is>
          <t>Bonjour Réjean,</t>
        </is>
      </c>
      <c r="R45" t="inlineStr">
        <is>
          <t>Adresse personnelle : individualiser vraiment</t>
        </is>
      </c>
    </row>
    <row r="46" ht="15" customHeight="1" s="26">
      <c r="A46" s="41" t="inlineStr">
        <is>
          <t>A</t>
        </is>
      </c>
      <c r="B46" s="36" t="inlineStr">
        <is>
          <t>Charles</t>
        </is>
      </c>
      <c r="C46" s="36" t="inlineStr">
        <is>
          <t>Mathieu</t>
        </is>
      </c>
      <c r="D46" s="37" t="inlineStr">
        <is>
          <t>Journaliste de données</t>
        </is>
      </c>
      <c r="E46" s="36" t="inlineStr">
        <is>
          <t>Quebecor Média</t>
        </is>
      </c>
      <c r="F46" s="36" t="inlineStr">
        <is>
          <t>charles.mathieu@quebecormedia.com</t>
        </is>
      </c>
      <c r="G46" s="36" t="n"/>
      <c r="H46" s="36" t="inlineStr">
        <is>
          <t>Montréal</t>
        </is>
      </c>
      <c r="I46" s="37" t="inlineStr">
        <is>
          <t>Consommation; Environnement; Sciences; Économie</t>
        </is>
      </c>
      <c r="J46" s="36" t="n"/>
      <c r="K46" s="42" t="inlineStr">
        <is>
          <t>Ouvrir</t>
        </is>
      </c>
      <c r="L46" s="38" t="n"/>
      <c r="M46" s="38" t="n"/>
      <c r="N46" s="39" t="n"/>
      <c r="O46" t="inlineStr">
        <is>
          <t>D</t>
        </is>
      </c>
      <c r="P46" t="inlineStr">
        <is>
          <t>Le monarque, l'asclepiade, et l'idee qu'il faut la rendre payante</t>
        </is>
      </c>
      <c r="Q46" t="inlineStr">
        <is>
          <t>Bonjour Charles,</t>
        </is>
      </c>
    </row>
    <row r="47" ht="23.85" customHeight="1" s="26">
      <c r="A47" s="41" t="inlineStr">
        <is>
          <t>A</t>
        </is>
      </c>
      <c r="B47" s="36" t="inlineStr">
        <is>
          <t>Clara</t>
        </is>
      </c>
      <c r="C47" s="36" t="inlineStr">
        <is>
          <t>Matthey-Jonais</t>
        </is>
      </c>
      <c r="D47" s="37" t="inlineStr">
        <is>
          <t>Journaliste</t>
        </is>
      </c>
      <c r="E47" s="36" t="inlineStr">
        <is>
          <t>Pigiste</t>
        </is>
      </c>
      <c r="F47" s="36" t="inlineStr">
        <is>
          <t>journaliste@tvbl.qc.ca</t>
        </is>
      </c>
      <c r="G47" s="36" t="n"/>
      <c r="H47" s="36" t="inlineStr">
        <is>
          <t>Montréal</t>
        </is>
      </c>
      <c r="I47" s="37" t="inlineStr">
        <is>
          <t>Agriculture; Art de vivre; Consommation; Environnement; Plein air; Sciences; Économie</t>
        </is>
      </c>
      <c r="J47" s="36" t="n"/>
      <c r="K47" s="42" t="inlineStr">
        <is>
          <t>Ouvrir</t>
        </is>
      </c>
      <c r="L47" s="38" t="n"/>
      <c r="M47" s="38" t="n"/>
      <c r="N47" s="39" t="n"/>
      <c r="O47" t="inlineStr">
        <is>
          <t>C</t>
        </is>
      </c>
      <c r="P47" t="inlineStr">
        <is>
          <t>L'asclepiade, huit ans apres l'effondrement de la filiere</t>
        </is>
      </c>
      <c r="Q47" t="inlineStr">
        <is>
          <t>Bonjour Clara,</t>
        </is>
      </c>
      <c r="R47" t="inlineStr">
        <is>
          <t>Adresse personnelle : individualiser vraiment</t>
        </is>
      </c>
    </row>
    <row r="48" ht="15" customHeight="1" s="26">
      <c r="A48" s="41" t="inlineStr">
        <is>
          <t>A</t>
        </is>
      </c>
      <c r="B48" s="36" t="inlineStr">
        <is>
          <t>Valérian</t>
        </is>
      </c>
      <c r="C48" s="36" t="inlineStr">
        <is>
          <t>Mazataud</t>
        </is>
      </c>
      <c r="D48" s="37" t="inlineStr">
        <is>
          <t>Photojournaliste</t>
        </is>
      </c>
      <c r="E48" s="36" t="inlineStr">
        <is>
          <t>Le Devoir</t>
        </is>
      </c>
      <c r="F48" s="36" t="inlineStr">
        <is>
          <t>vmazataud@ledevoir.com</t>
        </is>
      </c>
      <c r="G48" s="36" t="inlineStr">
        <is>
          <t>514 985-3333</t>
        </is>
      </c>
      <c r="H48" s="36" t="inlineStr">
        <is>
          <t>Montréal</t>
        </is>
      </c>
      <c r="I48" s="37" t="inlineStr">
        <is>
          <t>Agriculture; Art de vivre; Environnement; Plein air; Sciences</t>
        </is>
      </c>
      <c r="J48" s="36" t="n"/>
      <c r="K48" s="42" t="inlineStr">
        <is>
          <t>Ouvrir</t>
        </is>
      </c>
      <c r="L48" s="38" t="n"/>
      <c r="M48" s="38" t="n"/>
      <c r="N48" s="39" t="n"/>
      <c r="O48" t="inlineStr">
        <is>
          <t>C</t>
        </is>
      </c>
      <c r="P48" t="inlineStr">
        <is>
          <t>L'asclepiade, huit ans apres l'effondrement de la filiere</t>
        </is>
      </c>
      <c r="Q48" t="inlineStr">
        <is>
          <t>Bonjour Valérian,</t>
        </is>
      </c>
    </row>
    <row r="49" ht="15" customHeight="1" s="26">
      <c r="A49" s="41" t="inlineStr">
        <is>
          <t>A</t>
        </is>
      </c>
      <c r="B49" s="36" t="inlineStr">
        <is>
          <t>Lili</t>
        </is>
      </c>
      <c r="C49" s="36" t="inlineStr">
        <is>
          <t>Mercure</t>
        </is>
      </c>
      <c r="D49" s="37" t="inlineStr">
        <is>
          <t>Journaliste, télé et radio</t>
        </is>
      </c>
      <c r="E49" s="36" t="inlineStr">
        <is>
          <t>Noovo Info</t>
        </is>
      </c>
      <c r="F49" s="36" t="inlineStr">
        <is>
          <t>lili.mercure@bellmedia.ca</t>
        </is>
      </c>
      <c r="G49" s="36" t="inlineStr">
        <is>
          <t>438 880-3822</t>
        </is>
      </c>
      <c r="H49" s="36" t="inlineStr">
        <is>
          <t>Montréal</t>
        </is>
      </c>
      <c r="I49" s="37" t="inlineStr">
        <is>
          <t>Agriculture; Consommation; Environnement; Économie</t>
        </is>
      </c>
      <c r="J49" s="36" t="n"/>
      <c r="K49" s="42" t="inlineStr">
        <is>
          <t>Ouvrir</t>
        </is>
      </c>
      <c r="L49" s="38" t="n"/>
      <c r="M49" s="38" t="n"/>
      <c r="N49" s="39" t="n"/>
      <c r="O49" t="inlineStr">
        <is>
          <t>I</t>
        </is>
      </c>
      <c r="P49" t="inlineStr">
        <is>
          <t>Invite disponible : Lasclay a Dragons' Den le 17 septembre</t>
        </is>
      </c>
      <c r="Q49" t="inlineStr">
        <is>
          <t>Bonjour Lili,</t>
        </is>
      </c>
    </row>
    <row r="50" ht="15" customHeight="1" s="26">
      <c r="A50" s="41" t="inlineStr">
        <is>
          <t>A</t>
        </is>
      </c>
      <c r="B50" s="36" t="inlineStr">
        <is>
          <t>Nicolas</t>
        </is>
      </c>
      <c r="C50" s="36" t="inlineStr">
        <is>
          <t>Mesly</t>
        </is>
      </c>
      <c r="D50" s="37" t="inlineStr">
        <is>
          <t>Journaliste, chroniqueur, documentariste, agronome</t>
        </is>
      </c>
      <c r="E50" s="36" t="inlineStr">
        <is>
          <t>Pigiste</t>
        </is>
      </c>
      <c r="F50" s="36" t="inlineStr">
        <is>
          <t>nicolasmesly@gmail.com</t>
        </is>
      </c>
      <c r="G50" s="36" t="inlineStr">
        <is>
          <t>438 992 7727</t>
        </is>
      </c>
      <c r="H50" s="36" t="inlineStr">
        <is>
          <t>Montréal</t>
        </is>
      </c>
      <c r="I50" s="37" t="inlineStr">
        <is>
          <t>Agriculture; Environnement; Sciences; Économie</t>
        </is>
      </c>
      <c r="J50" s="36" t="n"/>
      <c r="K50" s="42" t="inlineStr">
        <is>
          <t>Ouvrir</t>
        </is>
      </c>
      <c r="L50" s="38" t="n"/>
      <c r="M50" s="38" t="n"/>
      <c r="N50" s="39" t="n"/>
      <c r="O50" t="inlineStr">
        <is>
          <t>C</t>
        </is>
      </c>
      <c r="P50" t="inlineStr">
        <is>
          <t>L'asclepiade, huit ans apres l'effondrement de la filiere</t>
        </is>
      </c>
      <c r="Q50" t="inlineStr">
        <is>
          <t>Bonjour Nicolas,</t>
        </is>
      </c>
      <c r="R50" t="inlineStr">
        <is>
          <t>Adresse personnelle : individualiser vraiment</t>
        </is>
      </c>
    </row>
    <row r="51" ht="23.85" customHeight="1" s="26">
      <c r="A51" s="41" t="inlineStr">
        <is>
          <t>A</t>
        </is>
      </c>
      <c r="B51" s="36" t="inlineStr">
        <is>
          <t>Nicolas</t>
        </is>
      </c>
      <c r="C51" s="36" t="inlineStr">
        <is>
          <t>Michaud</t>
        </is>
      </c>
      <c r="D51" s="37" t="inlineStr">
        <is>
          <t>Politologue, journaliste, réviseur linguistique et correcteur d'épreuves</t>
        </is>
      </c>
      <c r="E51" s="36" t="inlineStr">
        <is>
          <t>Pigiste</t>
        </is>
      </c>
      <c r="F51" s="36" t="inlineStr">
        <is>
          <t>nicolas.michaud.1@umontreal.ca</t>
        </is>
      </c>
      <c r="G51" s="36" t="inlineStr">
        <is>
          <t>450 602-2794</t>
        </is>
      </c>
      <c r="H51" s="36" t="inlineStr">
        <is>
          <t>Lanaudière</t>
        </is>
      </c>
      <c r="I51" s="37" t="inlineStr">
        <is>
          <t>Agriculture; Consommation; Environnement; Sciences; Économie</t>
        </is>
      </c>
      <c r="J51" s="36" t="n"/>
      <c r="K51" s="42" t="inlineStr">
        <is>
          <t>Ouvrir</t>
        </is>
      </c>
      <c r="L51" s="38" t="n"/>
      <c r="M51" s="38" t="n"/>
      <c r="N51" s="39" t="n"/>
      <c r="O51" t="inlineStr">
        <is>
          <t>C</t>
        </is>
      </c>
      <c r="P51" t="inlineStr">
        <is>
          <t>L'asclepiade, huit ans apres l'effondrement de la filiere</t>
        </is>
      </c>
      <c r="Q51" t="inlineStr">
        <is>
          <t>Bonjour Nicolas,</t>
        </is>
      </c>
      <c r="R51" t="inlineStr">
        <is>
          <t>Adresse personnelle : individualiser vraiment</t>
        </is>
      </c>
    </row>
    <row r="52" ht="15" customHeight="1" s="26">
      <c r="A52" s="41" t="inlineStr">
        <is>
          <t>A</t>
        </is>
      </c>
      <c r="B52" s="36" t="inlineStr">
        <is>
          <t>Véronique</t>
        </is>
      </c>
      <c r="C52" s="36" t="inlineStr">
        <is>
          <t>Morin</t>
        </is>
      </c>
      <c r="D52" s="37" t="inlineStr">
        <is>
          <t>Journaliste - productrice de contenu</t>
        </is>
      </c>
      <c r="E52" s="36" t="inlineStr">
        <is>
          <t>Quebecor Média</t>
        </is>
      </c>
      <c r="F52" s="36" t="inlineStr">
        <is>
          <t>veronique.morin@quebecormedia.com</t>
        </is>
      </c>
      <c r="G52" s="36" t="inlineStr">
        <is>
          <t>581-748-8094</t>
        </is>
      </c>
      <c r="H52" s="36" t="inlineStr">
        <is>
          <t>Capitale-Nationale/Chaudière-Appalaches</t>
        </is>
      </c>
      <c r="I52" s="37" t="inlineStr">
        <is>
          <t>Agriculture; Consommation; Environnement; Sciences</t>
        </is>
      </c>
      <c r="J52" s="36" t="n"/>
      <c r="K52" s="42" t="inlineStr">
        <is>
          <t>Ouvrir</t>
        </is>
      </c>
      <c r="L52" s="38" t="n"/>
      <c r="M52" s="38" t="n"/>
      <c r="N52" s="39" t="n"/>
      <c r="O52" t="inlineStr">
        <is>
          <t>C</t>
        </is>
      </c>
      <c r="P52" t="inlineStr">
        <is>
          <t>L'asclepiade, huit ans apres l'effondrement de la filiere</t>
        </is>
      </c>
      <c r="Q52" t="inlineStr">
        <is>
          <t>Bonjour Véronique,</t>
        </is>
      </c>
    </row>
    <row r="53" ht="15" customHeight="1" s="26">
      <c r="A53" s="41" t="inlineStr">
        <is>
          <t>A</t>
        </is>
      </c>
      <c r="B53" s="36" t="inlineStr">
        <is>
          <t>Lila</t>
        </is>
      </c>
      <c r="C53" s="36" t="inlineStr">
        <is>
          <t>Mouch</t>
        </is>
      </c>
      <c r="D53" s="37" t="inlineStr">
        <is>
          <t>Journaliste</t>
        </is>
      </c>
      <c r="E53" s="36" t="inlineStr">
        <is>
          <t>Noovo Info</t>
        </is>
      </c>
      <c r="F53" s="36" t="inlineStr">
        <is>
          <t>lila.mouch@bellmedia.ca</t>
        </is>
      </c>
      <c r="G53" s="36" t="inlineStr">
        <is>
          <t>416 968-3536</t>
        </is>
      </c>
      <c r="H53" s="36" t="inlineStr">
        <is>
          <t>Montréal</t>
        </is>
      </c>
      <c r="I53" s="37" t="inlineStr">
        <is>
          <t>Agriculture; Consommation; Environnement; Économie</t>
        </is>
      </c>
      <c r="J53" s="36" t="n"/>
      <c r="K53" s="42" t="inlineStr">
        <is>
          <t>Ouvrir</t>
        </is>
      </c>
      <c r="L53" s="38" t="n"/>
      <c r="M53" s="38" t="n"/>
      <c r="N53" s="39" t="n"/>
      <c r="O53" t="inlineStr">
        <is>
          <t>I</t>
        </is>
      </c>
      <c r="P53" t="inlineStr">
        <is>
          <t>Invite disponible : Lasclay a Dragons' Den le 17 septembre</t>
        </is>
      </c>
      <c r="Q53" t="inlineStr">
        <is>
          <t>Bonjour Lila,</t>
        </is>
      </c>
    </row>
    <row r="54" ht="15" customHeight="1" s="26">
      <c r="A54" s="41" t="inlineStr">
        <is>
          <t>A</t>
        </is>
      </c>
      <c r="B54" s="36" t="inlineStr">
        <is>
          <t>Olivier</t>
        </is>
      </c>
      <c r="C54" s="36" t="inlineStr">
        <is>
          <t>Mougeot</t>
        </is>
      </c>
      <c r="D54" s="37" t="inlineStr">
        <is>
          <t>Journaliste</t>
        </is>
      </c>
      <c r="E54" s="36" t="inlineStr">
        <is>
          <t>Le Soleil</t>
        </is>
      </c>
      <c r="F54" s="36" t="inlineStr">
        <is>
          <t>omougeot@lesoleil.com</t>
        </is>
      </c>
      <c r="G54" s="36" t="n"/>
      <c r="H54" s="36" t="inlineStr">
        <is>
          <t>Capitale-Nationale/Chaudière-Appalaches</t>
        </is>
      </c>
      <c r="I54" s="37" t="inlineStr">
        <is>
          <t>Environnement; Économie</t>
        </is>
      </c>
      <c r="J54" s="36" t="n"/>
      <c r="K54" s="42" t="inlineStr">
        <is>
          <t>Ouvrir</t>
        </is>
      </c>
      <c r="L54" s="38" t="n"/>
      <c r="M54" s="38" t="n"/>
      <c r="N54" s="39" t="n"/>
      <c r="O54" t="inlineStr">
        <is>
          <t>B</t>
        </is>
      </c>
      <c r="P54" t="inlineStr">
        <is>
          <t>Capitale-Nationale/Chaudière-Appalaches : Lasclay au premier episode de la 21e saison de Dragons' Den</t>
        </is>
      </c>
      <c r="Q54" t="inlineStr">
        <is>
          <t>Bonjour Olivier,</t>
        </is>
      </c>
    </row>
    <row r="55" ht="23.85" customHeight="1" s="26">
      <c r="A55" s="41" t="inlineStr">
        <is>
          <t>A</t>
        </is>
      </c>
      <c r="B55" s="36" t="inlineStr">
        <is>
          <t>Emmanuelle</t>
        </is>
      </c>
      <c r="C55" s="36" t="inlineStr">
        <is>
          <t>Mozayan-Verschaeve</t>
        </is>
      </c>
      <c r="D55" s="37" t="inlineStr">
        <is>
          <t>Journaliste</t>
        </is>
      </c>
      <c r="E55" s="36" t="inlineStr">
        <is>
          <t>Pigiste</t>
        </is>
      </c>
      <c r="F55" s="36" t="inlineStr">
        <is>
          <t>ecritsur@gmail.com</t>
        </is>
      </c>
      <c r="G55" s="36" t="inlineStr">
        <is>
          <t>8194342768</t>
        </is>
      </c>
      <c r="H55" s="36" t="inlineStr">
        <is>
          <t>Laurentides</t>
        </is>
      </c>
      <c r="I55" s="37" t="inlineStr">
        <is>
          <t>Art de vivre; Environnement; Mode et beauté; Plein air; Économie</t>
        </is>
      </c>
      <c r="J55" s="36" t="n"/>
      <c r="K55" s="42" t="inlineStr">
        <is>
          <t>Ouvrir</t>
        </is>
      </c>
      <c r="L55" s="38" t="n"/>
      <c r="M55" s="38" t="n"/>
      <c r="N55" s="39" t="n"/>
      <c r="O55" t="inlineStr">
        <is>
          <t>F</t>
        </is>
      </c>
      <c r="P55" t="inlineStr">
        <is>
          <t>L'asclepiade contre le duvet, et ce que les tests disent vraiment</t>
        </is>
      </c>
      <c r="Q55" t="inlineStr">
        <is>
          <t>Bonjour Emmanuelle,</t>
        </is>
      </c>
      <c r="R55" t="inlineStr">
        <is>
          <t>Adresse personnelle : individualiser vraiment</t>
        </is>
      </c>
    </row>
    <row r="56" ht="15" customHeight="1" s="26">
      <c r="A56" s="41" t="inlineStr">
        <is>
          <t>A</t>
        </is>
      </c>
      <c r="B56" s="36" t="inlineStr">
        <is>
          <t>Jean-Benoît</t>
        </is>
      </c>
      <c r="C56" s="36" t="inlineStr">
        <is>
          <t>Nadeau</t>
        </is>
      </c>
      <c r="D56" s="37" t="inlineStr">
        <is>
          <t>Journaliste et chroniqueur</t>
        </is>
      </c>
      <c r="E56" s="36" t="inlineStr">
        <is>
          <t>L’actualité</t>
        </is>
      </c>
      <c r="F56" s="36" t="inlineStr">
        <is>
          <t>jean-benoit@nadeaubarlow.com</t>
        </is>
      </c>
      <c r="G56" s="36" t="inlineStr">
        <is>
          <t>514-728-0357</t>
        </is>
      </c>
      <c r="H56" s="36" t="inlineStr">
        <is>
          <t>Montréal</t>
        </is>
      </c>
      <c r="I56" s="37" t="inlineStr">
        <is>
          <t>Environnement; Plein air; Sciences; Économie</t>
        </is>
      </c>
      <c r="J56" s="36" t="n"/>
      <c r="K56" s="42" t="inlineStr">
        <is>
          <t>Ouvrir</t>
        </is>
      </c>
      <c r="L56" s="38" t="n"/>
      <c r="M56" s="38" t="n"/>
      <c r="N56" s="39" t="n"/>
      <c r="O56" t="inlineStr">
        <is>
          <t>F</t>
        </is>
      </c>
      <c r="P56" t="inlineStr">
        <is>
          <t>L'asclepiade contre le duvet, et ce que les tests disent vraiment</t>
        </is>
      </c>
      <c r="Q56" t="inlineStr">
        <is>
          <t>Bonjour Jean-Benoît,</t>
        </is>
      </c>
    </row>
    <row r="57" ht="15" customHeight="1" s="26">
      <c r="A57" s="41" t="inlineStr">
        <is>
          <t>A</t>
        </is>
      </c>
      <c r="B57" s="36" t="inlineStr">
        <is>
          <t>Yves</t>
        </is>
      </c>
      <c r="C57" s="36" t="inlineStr">
        <is>
          <t>Ouellet</t>
        </is>
      </c>
      <c r="D57" s="37" t="inlineStr">
        <is>
          <t>Journaliste, blogueur et photographe</t>
        </is>
      </c>
      <c r="E57" s="36" t="inlineStr">
        <is>
          <t>Pigiste</t>
        </is>
      </c>
      <c r="F57" s="36" t="inlineStr">
        <is>
          <t>y.ouellet@videotron.ca</t>
        </is>
      </c>
      <c r="G57" s="36" t="inlineStr">
        <is>
          <t>4185456952</t>
        </is>
      </c>
      <c r="H57" s="36" t="inlineStr">
        <is>
          <t>Capitale-Nationale/Chaudière-Appalaches</t>
        </is>
      </c>
      <c r="I57" s="37" t="inlineStr">
        <is>
          <t>Plein air</t>
        </is>
      </c>
      <c r="J57" s="36" t="n"/>
      <c r="K57" s="42" t="inlineStr">
        <is>
          <t>Ouvrir</t>
        </is>
      </c>
      <c r="L57" s="38" t="n"/>
      <c r="M57" s="38" t="n"/>
      <c r="N57" s="39" t="n"/>
      <c r="O57" t="inlineStr">
        <is>
          <t>F</t>
        </is>
      </c>
      <c r="P57" t="inlineStr">
        <is>
          <t>L'asclepiade contre le duvet, et ce que les tests disent vraiment</t>
        </is>
      </c>
      <c r="Q57" t="inlineStr">
        <is>
          <t>Bonjour Yves,</t>
        </is>
      </c>
      <c r="R57" t="inlineStr">
        <is>
          <t>Adresse personnelle : individualiser vraiment</t>
        </is>
      </c>
    </row>
    <row r="58" ht="23.85" customHeight="1" s="26">
      <c r="A58" s="41" t="inlineStr">
        <is>
          <t>A</t>
        </is>
      </c>
      <c r="B58" s="36" t="inlineStr">
        <is>
          <t>Josée</t>
        </is>
      </c>
      <c r="C58" s="36" t="inlineStr">
        <is>
          <t>Panet-Raymond</t>
        </is>
      </c>
      <c r="D58" s="37" t="inlineStr">
        <is>
          <t>Journaliste</t>
        </is>
      </c>
      <c r="E58" s="36" t="inlineStr">
        <is>
          <t>Pigiste</t>
        </is>
      </c>
      <c r="F58" s="36" t="inlineStr">
        <is>
          <t>jopanray@videotron.ca</t>
        </is>
      </c>
      <c r="G58" s="36" t="inlineStr">
        <is>
          <t>438 944-1541</t>
        </is>
      </c>
      <c r="H58" s="36" t="inlineStr">
        <is>
          <t>Laval</t>
        </is>
      </c>
      <c r="I58" s="37" t="inlineStr">
        <is>
          <t>Agriculture; Art de vivre; Consommation; Environnement; Sciences; Économie</t>
        </is>
      </c>
      <c r="J58" s="36" t="n"/>
      <c r="K58" s="42" t="inlineStr">
        <is>
          <t>Ouvrir</t>
        </is>
      </c>
      <c r="L58" s="38" t="n"/>
      <c r="M58" s="38" t="n"/>
      <c r="N58" s="39" t="n"/>
      <c r="O58" t="inlineStr">
        <is>
          <t>C</t>
        </is>
      </c>
      <c r="P58" t="inlineStr">
        <is>
          <t>L'asclepiade, huit ans apres l'effondrement de la filiere</t>
        </is>
      </c>
      <c r="Q58" t="inlineStr">
        <is>
          <t>Bonjour Josée,</t>
        </is>
      </c>
      <c r="R58" t="inlineStr">
        <is>
          <t>Adresse personnelle : individualiser vraiment</t>
        </is>
      </c>
    </row>
    <row r="59" ht="23.85" customHeight="1" s="26">
      <c r="A59" s="41" t="inlineStr">
        <is>
          <t>A</t>
        </is>
      </c>
      <c r="B59" s="36" t="inlineStr">
        <is>
          <t>Yannick</t>
        </is>
      </c>
      <c r="C59" s="36" t="inlineStr">
        <is>
          <t>Patelli</t>
        </is>
      </c>
      <c r="D59" s="37" t="inlineStr">
        <is>
          <t>Editeur et directeur général</t>
        </is>
      </c>
      <c r="E59" s="36" t="inlineStr">
        <is>
          <t>Pigiste</t>
        </is>
      </c>
      <c r="F59" s="36" t="inlineStr">
        <is>
          <t>ypatelli@lavieagricole.com</t>
        </is>
      </c>
      <c r="G59" s="36" t="n"/>
      <c r="H59" s="36" t="inlineStr">
        <is>
          <t>Capitale-Nationale/Chaudière-Appalaches</t>
        </is>
      </c>
      <c r="I59" s="37" t="inlineStr">
        <is>
          <t>Agriculture; Consommation; Environnement; Plein air; Sciences; Économie</t>
        </is>
      </c>
      <c r="J59" s="36" t="n"/>
      <c r="K59" s="42" t="inlineStr">
        <is>
          <t>Ouvrir</t>
        </is>
      </c>
      <c r="L59" s="38" t="n"/>
      <c r="M59" s="38" t="n"/>
      <c r="N59" s="39" t="n"/>
      <c r="O59" t="inlineStr">
        <is>
          <t>C</t>
        </is>
      </c>
      <c r="P59" t="inlineStr">
        <is>
          <t>L'asclepiade, huit ans apres l'effondrement de la filiere</t>
        </is>
      </c>
      <c r="Q59" t="inlineStr">
        <is>
          <t>Bonjour Yannick,</t>
        </is>
      </c>
      <c r="R59" t="inlineStr">
        <is>
          <t>Adresse personnelle : individualiser vraiment</t>
        </is>
      </c>
    </row>
    <row r="60" ht="15" customHeight="1" s="26">
      <c r="A60" s="41" t="inlineStr">
        <is>
          <t>A</t>
        </is>
      </c>
      <c r="B60" s="36" t="inlineStr">
        <is>
          <t>Félix</t>
        </is>
      </c>
      <c r="C60" s="36" t="inlineStr">
        <is>
          <t>Pedneault</t>
        </is>
      </c>
      <c r="D60" s="37" t="inlineStr">
        <is>
          <t>Journaliste multimedia</t>
        </is>
      </c>
      <c r="E60" s="36" t="inlineStr">
        <is>
          <t>Le Devoir</t>
        </is>
      </c>
      <c r="F60" s="36" t="inlineStr">
        <is>
          <t>felix.pedneault21@gmail.com</t>
        </is>
      </c>
      <c r="G60" s="36" t="inlineStr">
        <is>
          <t>514 985-3333</t>
        </is>
      </c>
      <c r="H60" s="36" t="inlineStr">
        <is>
          <t>Montréal</t>
        </is>
      </c>
      <c r="I60" s="37" t="inlineStr">
        <is>
          <t>Consommation; Environnement; Économie</t>
        </is>
      </c>
      <c r="J60" s="36" t="n"/>
      <c r="K60" s="42" t="inlineStr">
        <is>
          <t>Ouvrir</t>
        </is>
      </c>
      <c r="L60" s="38" t="n"/>
      <c r="M60" s="38" t="n"/>
      <c r="N60" s="39" t="n"/>
      <c r="O60" t="inlineStr">
        <is>
          <t>D</t>
        </is>
      </c>
      <c r="P60" t="inlineStr">
        <is>
          <t>Le monarque, l'asclepiade, et l'idee qu'il faut la rendre payante</t>
        </is>
      </c>
      <c r="Q60" t="inlineStr">
        <is>
          <t>Bonjour Félix,</t>
        </is>
      </c>
      <c r="R60" t="inlineStr">
        <is>
          <t>Adresse personnelle : individualiser vraiment</t>
        </is>
      </c>
    </row>
    <row r="61" ht="23.85" customHeight="1" s="26">
      <c r="A61" s="41" t="inlineStr">
        <is>
          <t>A</t>
        </is>
      </c>
      <c r="B61" s="36" t="inlineStr">
        <is>
          <t>Marie-Eve</t>
        </is>
      </c>
      <c r="C61" s="36" t="inlineStr">
        <is>
          <t>Poulin</t>
        </is>
      </c>
      <c r="D61" s="37" t="inlineStr">
        <is>
          <t>Journaliste</t>
        </is>
      </c>
      <c r="E61" s="36" t="inlineStr">
        <is>
          <t>Pigiste</t>
        </is>
      </c>
      <c r="F61" s="36" t="inlineStr">
        <is>
          <t>mepoulin@lenord-cotier.com</t>
        </is>
      </c>
      <c r="G61" s="36" t="inlineStr">
        <is>
          <t>418-960-2090</t>
        </is>
      </c>
      <c r="H61" s="36" t="inlineStr">
        <is>
          <t>Est-du-Québec</t>
        </is>
      </c>
      <c r="I61" s="37" t="inlineStr">
        <is>
          <t>Art de vivre; Consommation; Environnement; Plein air; Sciences; Économie</t>
        </is>
      </c>
      <c r="J61" s="36" t="n"/>
      <c r="K61" s="42" t="inlineStr">
        <is>
          <t>Ouvrir</t>
        </is>
      </c>
      <c r="L61" s="38" t="n"/>
      <c r="M61" s="38" t="n"/>
      <c r="N61" s="39" t="n"/>
      <c r="O61" t="inlineStr">
        <is>
          <t>F</t>
        </is>
      </c>
      <c r="P61" t="inlineStr">
        <is>
          <t>L'asclepiade contre le duvet, et ce que les tests disent vraiment</t>
        </is>
      </c>
      <c r="Q61" t="inlineStr">
        <is>
          <t>Bonjour Marie-Eve,</t>
        </is>
      </c>
      <c r="R61" t="inlineStr">
        <is>
          <t>Adresse personnelle : individualiser vraiment</t>
        </is>
      </c>
    </row>
    <row r="62" ht="15" customHeight="1" s="26">
      <c r="A62" s="41" t="inlineStr">
        <is>
          <t>A</t>
        </is>
      </c>
      <c r="B62" s="36" t="inlineStr">
        <is>
          <t>Marie-Hélène</t>
        </is>
      </c>
      <c r="C62" s="36" t="inlineStr">
        <is>
          <t>Proulx</t>
        </is>
      </c>
      <c r="D62" s="37" t="inlineStr">
        <is>
          <t>Journaliste</t>
        </is>
      </c>
      <c r="E62" s="36" t="inlineStr">
        <is>
          <t>L’actualité</t>
        </is>
      </c>
      <c r="F62" s="36" t="inlineStr">
        <is>
          <t>mhproulx@lactualite.com</t>
        </is>
      </c>
      <c r="G62" s="36" t="inlineStr">
        <is>
          <t>5146292135</t>
        </is>
      </c>
      <c r="H62" s="36" t="inlineStr">
        <is>
          <t>Montréal</t>
        </is>
      </c>
      <c r="I62" s="37" t="inlineStr">
        <is>
          <t>Agriculture; Consommation; Économie</t>
        </is>
      </c>
      <c r="J62" s="36" t="n"/>
      <c r="K62" s="42" t="inlineStr">
        <is>
          <t>Ouvrir</t>
        </is>
      </c>
      <c r="L62" s="38" t="n"/>
      <c r="M62" s="38" t="n"/>
      <c r="N62" s="39" t="n"/>
      <c r="O62" t="inlineStr">
        <is>
          <t>C</t>
        </is>
      </c>
      <c r="P62" t="inlineStr">
        <is>
          <t>L'asclepiade, huit ans apres l'effondrement de la filiere</t>
        </is>
      </c>
      <c r="Q62" t="inlineStr">
        <is>
          <t>Bonjour Marie-Hélène,</t>
        </is>
      </c>
    </row>
    <row r="63" ht="15" customHeight="1" s="26">
      <c r="A63" s="41" t="inlineStr">
        <is>
          <t>A</t>
        </is>
      </c>
      <c r="B63" s="36" t="inlineStr">
        <is>
          <t>Jean-Hugues</t>
        </is>
      </c>
      <c r="C63" s="36" t="inlineStr">
        <is>
          <t>Roy</t>
        </is>
      </c>
      <c r="D63" s="37" t="inlineStr">
        <is>
          <t>Professeur</t>
        </is>
      </c>
      <c r="E63" s="36" t="inlineStr">
        <is>
          <t>Université du Québec à Montréal</t>
        </is>
      </c>
      <c r="F63" s="36" t="inlineStr">
        <is>
          <t>jh@jhroy.ca</t>
        </is>
      </c>
      <c r="G63" s="36" t="inlineStr">
        <is>
          <t>5147786102</t>
        </is>
      </c>
      <c r="H63" s="36" t="inlineStr">
        <is>
          <t>Laurentides</t>
        </is>
      </c>
      <c r="I63" s="37" t="inlineStr">
        <is>
          <t>Environnement; Sciences; Économie</t>
        </is>
      </c>
      <c r="J63" s="36" t="n"/>
      <c r="K63" s="42" t="inlineStr">
        <is>
          <t>Ouvrir</t>
        </is>
      </c>
      <c r="L63" s="38" t="n"/>
      <c r="M63" s="38" t="n"/>
      <c r="N63" s="39" t="n"/>
      <c r="O63" t="inlineStr">
        <is>
          <t>B</t>
        </is>
      </c>
      <c r="P63" t="inlineStr">
        <is>
          <t>Laurentides : Lasclay au premier episode de la 21e saison de Dragons' Den</t>
        </is>
      </c>
      <c r="Q63" t="inlineStr">
        <is>
          <t>Bonjour Jean-Hugues,</t>
        </is>
      </c>
    </row>
    <row r="64" ht="15" customHeight="1" s="26">
      <c r="A64" s="41" t="inlineStr">
        <is>
          <t>A</t>
        </is>
      </c>
      <c r="B64" s="36" t="inlineStr">
        <is>
          <t>Martin</t>
        </is>
      </c>
      <c r="C64" s="36" t="inlineStr">
        <is>
          <t>Roy</t>
        </is>
      </c>
      <c r="D64" s="37" t="inlineStr">
        <is>
          <t>Caméraman/Photographe</t>
        </is>
      </c>
      <c r="E64" s="36" t="inlineStr">
        <is>
          <t>Université Laval</t>
        </is>
      </c>
      <c r="F64" s="36" t="inlineStr">
        <is>
          <t>martin.roy@uc.ulaval.ca</t>
        </is>
      </c>
      <c r="G64" s="36" t="inlineStr">
        <is>
          <t>418-656-2131 poste 404579</t>
        </is>
      </c>
      <c r="H64" s="36" t="inlineStr">
        <is>
          <t>Capitale-Nationale/Chaudière-Appalaches</t>
        </is>
      </c>
      <c r="I64" s="37" t="inlineStr">
        <is>
          <t>Agriculture; Environnement; Sciences</t>
        </is>
      </c>
      <c r="J64" s="36" t="n"/>
      <c r="K64" s="42" t="inlineStr">
        <is>
          <t>Ouvrir</t>
        </is>
      </c>
      <c r="L64" s="38" t="n"/>
      <c r="M64" s="38" t="n"/>
      <c r="N64" s="39" t="n"/>
      <c r="O64" t="inlineStr">
        <is>
          <t>B</t>
        </is>
      </c>
      <c r="P64" t="inlineStr">
        <is>
          <t>Capitale-Nationale/Chaudière-Appalaches : Lasclay au premier episode de la 21e saison de Dragons' Den</t>
        </is>
      </c>
      <c r="Q64" t="inlineStr">
        <is>
          <t>Bonjour Martin,</t>
        </is>
      </c>
    </row>
    <row r="65" ht="23.85" customHeight="1" s="26">
      <c r="A65" s="41" t="inlineStr">
        <is>
          <t>A</t>
        </is>
      </c>
      <c r="B65" s="36" t="inlineStr">
        <is>
          <t>Sylvain</t>
        </is>
      </c>
      <c r="C65" s="36" t="inlineStr">
        <is>
          <t>Sarrazin</t>
        </is>
      </c>
      <c r="D65" s="37" t="inlineStr">
        <is>
          <t>Reporter</t>
        </is>
      </c>
      <c r="E65" s="36" t="inlineStr">
        <is>
          <t>La Presse</t>
        </is>
      </c>
      <c r="F65" s="36" t="inlineStr">
        <is>
          <t>ssarrazin@lapresse.ca</t>
        </is>
      </c>
      <c r="G65" s="36" t="inlineStr">
        <is>
          <t>514 285-7000</t>
        </is>
      </c>
      <c r="H65" s="36" t="inlineStr">
        <is>
          <t>Montréal</t>
        </is>
      </c>
      <c r="I65" s="37" t="inlineStr">
        <is>
          <t>Art de vivre; Consommation; Mode et beauté; Plein air; Sciences</t>
        </is>
      </c>
      <c r="J65" s="36" t="n"/>
      <c r="K65" s="42" t="inlineStr">
        <is>
          <t>Ouvrir</t>
        </is>
      </c>
      <c r="L65" s="38" t="n"/>
      <c r="M65" s="38" t="n"/>
      <c r="N65" s="39" t="n"/>
      <c r="O65" t="inlineStr">
        <is>
          <t>F</t>
        </is>
      </c>
      <c r="P65" t="inlineStr">
        <is>
          <t>L'asclepiade contre le duvet, et ce que les tests disent vraiment</t>
        </is>
      </c>
      <c r="Q65" t="inlineStr">
        <is>
          <t>Bonjour Sylvain,</t>
        </is>
      </c>
    </row>
    <row r="66" ht="15" customHeight="1" s="26">
      <c r="A66" s="41" t="inlineStr">
        <is>
          <t>A</t>
        </is>
      </c>
      <c r="B66" s="36" t="inlineStr">
        <is>
          <t>Pierre</t>
        </is>
      </c>
      <c r="C66" s="36" t="inlineStr">
        <is>
          <t>Sormany</t>
        </is>
      </c>
      <c r="D66" s="37" t="inlineStr">
        <is>
          <t>Journaliste, producteur et scénariste documentaire.</t>
        </is>
      </c>
      <c r="E66" s="36" t="inlineStr">
        <is>
          <t>Pigiste</t>
        </is>
      </c>
      <c r="F66" s="36" t="inlineStr">
        <is>
          <t>sormanyp@gmail.com</t>
        </is>
      </c>
      <c r="G66" s="36" t="inlineStr">
        <is>
          <t>514-525-7208</t>
        </is>
      </c>
      <c r="H66" s="36" t="inlineStr">
        <is>
          <t>Montréal</t>
        </is>
      </c>
      <c r="I66" s="37" t="inlineStr">
        <is>
          <t>Environnement; Plein air; Sciences; Économie</t>
        </is>
      </c>
      <c r="J66" s="36" t="n"/>
      <c r="K66" s="42" t="inlineStr">
        <is>
          <t>Ouvrir</t>
        </is>
      </c>
      <c r="L66" s="38" t="n"/>
      <c r="M66" s="38" t="n"/>
      <c r="N66" s="39" t="n"/>
      <c r="O66" t="inlineStr">
        <is>
          <t>F</t>
        </is>
      </c>
      <c r="P66" t="inlineStr">
        <is>
          <t>L'asclepiade contre le duvet, et ce que les tests disent vraiment</t>
        </is>
      </c>
      <c r="Q66" t="inlineStr">
        <is>
          <t>Bonjour Pierre,</t>
        </is>
      </c>
      <c r="R66" t="inlineStr">
        <is>
          <t>Adresse personnelle : individualiser vraiment</t>
        </is>
      </c>
    </row>
    <row r="67" ht="15" customHeight="1" s="26">
      <c r="A67" s="41" t="inlineStr">
        <is>
          <t>A</t>
        </is>
      </c>
      <c r="B67" s="36" t="inlineStr">
        <is>
          <t>Scott</t>
        </is>
      </c>
      <c r="C67" s="36" t="inlineStr">
        <is>
          <t>Stevenson</t>
        </is>
      </c>
      <c r="D67" s="37" t="inlineStr">
        <is>
          <t>Directeur général</t>
        </is>
      </c>
      <c r="E67" s="36" t="inlineStr">
        <is>
          <t>Pigiste</t>
        </is>
      </c>
      <c r="F67" s="36" t="inlineStr">
        <is>
          <t>direction@journalhsf.com</t>
        </is>
      </c>
      <c r="G67" s="36" t="inlineStr">
        <is>
          <t>819-875-5501</t>
        </is>
      </c>
      <c r="H67" s="36" t="inlineStr">
        <is>
          <t>Estrie</t>
        </is>
      </c>
      <c r="I67" s="37" t="inlineStr">
        <is>
          <t>Agriculture; Environnement; Économie</t>
        </is>
      </c>
      <c r="J67" s="36" t="n"/>
      <c r="K67" s="42" t="inlineStr">
        <is>
          <t>Ouvrir</t>
        </is>
      </c>
      <c r="L67" s="38" t="n"/>
      <c r="M67" s="38" t="n"/>
      <c r="N67" s="39" t="n"/>
      <c r="O67" t="inlineStr">
        <is>
          <t>C</t>
        </is>
      </c>
      <c r="P67" t="inlineStr">
        <is>
          <t>L'asclepiade, huit ans apres l'effondrement de la filiere</t>
        </is>
      </c>
      <c r="Q67" t="inlineStr">
        <is>
          <t>Bonjour Scott,</t>
        </is>
      </c>
      <c r="R67" t="inlineStr">
        <is>
          <t>Adresse personnelle : individualiser vraiment</t>
        </is>
      </c>
    </row>
    <row r="68" ht="15" customHeight="1" s="26">
      <c r="A68" s="41" t="inlineStr">
        <is>
          <t>A</t>
        </is>
      </c>
      <c r="B68" s="36" t="inlineStr">
        <is>
          <t>Michèle</t>
        </is>
      </c>
      <c r="C68" s="36" t="inlineStr">
        <is>
          <t>Tanganika</t>
        </is>
      </c>
      <c r="D68" s="37" t="inlineStr">
        <is>
          <t>journaliste</t>
        </is>
      </c>
      <c r="E68" s="36" t="inlineStr">
        <is>
          <t>Pigiste</t>
        </is>
      </c>
      <c r="F68" s="36" t="inlineStr">
        <is>
          <t>mtanganika@chga.fm</t>
        </is>
      </c>
      <c r="G68" s="36" t="inlineStr">
        <is>
          <t>8194499730</t>
        </is>
      </c>
      <c r="H68" s="36" t="inlineStr">
        <is>
          <t>Outaouais</t>
        </is>
      </c>
      <c r="I68" s="37" t="inlineStr">
        <is>
          <t>Agriculture; Environnement; Plein air; Sciences; Économie</t>
        </is>
      </c>
      <c r="J68" s="36" t="n"/>
      <c r="K68" s="42" t="inlineStr">
        <is>
          <t>Ouvrir</t>
        </is>
      </c>
      <c r="L68" s="38" t="n"/>
      <c r="M68" s="38" t="n"/>
      <c r="N68" s="39" t="n"/>
      <c r="O68" t="inlineStr">
        <is>
          <t>C</t>
        </is>
      </c>
      <c r="P68" t="inlineStr">
        <is>
          <t>L'asclepiade, huit ans apres l'effondrement de la filiere</t>
        </is>
      </c>
      <c r="Q68" t="inlineStr">
        <is>
          <t>Bonjour Michèle,</t>
        </is>
      </c>
      <c r="R68" t="inlineStr">
        <is>
          <t>Adresse personnelle : individualiser vraiment</t>
        </is>
      </c>
    </row>
    <row r="69" ht="15" customHeight="1" s="26">
      <c r="A69" s="41" t="inlineStr">
        <is>
          <t>A</t>
        </is>
      </c>
      <c r="B69" s="36" t="inlineStr">
        <is>
          <t>Stephane</t>
        </is>
      </c>
      <c r="C69" s="36" t="inlineStr">
        <is>
          <t>Tellier</t>
        </is>
      </c>
      <c r="D69" s="37" t="inlineStr">
        <is>
          <t>Animateur-journaliste pigiste</t>
        </is>
      </c>
      <c r="E69" s="36" t="inlineStr">
        <is>
          <t>SUMMUM</t>
        </is>
      </c>
      <c r="F69" s="36" t="inlineStr">
        <is>
          <t>bourlingueurstephanetellier@gmail.com</t>
        </is>
      </c>
      <c r="G69" s="36" t="inlineStr">
        <is>
          <t>5145493872</t>
        </is>
      </c>
      <c r="H69" s="36" t="inlineStr">
        <is>
          <t>Montréal</t>
        </is>
      </c>
      <c r="I69" s="37" t="inlineStr">
        <is>
          <t>Art de vivre; Environnement; Plein air; Économie</t>
        </is>
      </c>
      <c r="J69" s="36" t="n"/>
      <c r="K69" s="42" t="inlineStr">
        <is>
          <t>Ouvrir</t>
        </is>
      </c>
      <c r="L69" s="38" t="n"/>
      <c r="M69" s="38" t="n"/>
      <c r="N69" s="39" t="n"/>
      <c r="O69" t="inlineStr">
        <is>
          <t>I</t>
        </is>
      </c>
      <c r="P69" t="inlineStr">
        <is>
          <t>Invite disponible : Lasclay a Dragons' Den le 17 septembre</t>
        </is>
      </c>
      <c r="Q69" t="inlineStr">
        <is>
          <t>Bonjour Stephane,</t>
        </is>
      </c>
      <c r="R69" t="inlineStr">
        <is>
          <t>Adresse personnelle : individualiser vraiment</t>
        </is>
      </c>
    </row>
    <row r="70" ht="15" customHeight="1" s="26">
      <c r="A70" s="41" t="inlineStr">
        <is>
          <t>A</t>
        </is>
      </c>
      <c r="B70" s="36" t="inlineStr">
        <is>
          <t>Karine</t>
        </is>
      </c>
      <c r="C70" s="36" t="inlineStr">
        <is>
          <t>Tremblay</t>
        </is>
      </c>
      <c r="D70" s="37" t="inlineStr">
        <is>
          <t>Journaliste et chroniqueuse</t>
        </is>
      </c>
      <c r="E70" s="36" t="inlineStr">
        <is>
          <t>La Tribune</t>
        </is>
      </c>
      <c r="F70" s="36" t="inlineStr">
        <is>
          <t>karine.tremblay@latribune.qc.ca</t>
        </is>
      </c>
      <c r="G70" s="36" t="inlineStr">
        <is>
          <t>819-345-7991</t>
        </is>
      </c>
      <c r="H70" s="36" t="inlineStr">
        <is>
          <t>Estrie</t>
        </is>
      </c>
      <c r="I70" s="37" t="inlineStr">
        <is>
          <t>Agriculture; Art de vivre; Consommation; Environnement</t>
        </is>
      </c>
      <c r="J70" s="36" t="n"/>
      <c r="K70" s="42" t="inlineStr">
        <is>
          <t>Ouvrir</t>
        </is>
      </c>
      <c r="L70" s="38" t="n"/>
      <c r="M70" s="38" t="n"/>
      <c r="N70" s="39" t="n"/>
      <c r="O70" t="inlineStr">
        <is>
          <t>B</t>
        </is>
      </c>
      <c r="P70" t="inlineStr">
        <is>
          <t>Estrie : Lasclay au premier episode de la 21e saison de Dragons' Den</t>
        </is>
      </c>
      <c r="Q70" t="inlineStr">
        <is>
          <t>Bonjour Karine,</t>
        </is>
      </c>
    </row>
    <row r="71" ht="15" customHeight="1" s="26">
      <c r="A71" s="41" t="inlineStr">
        <is>
          <t>A</t>
        </is>
      </c>
      <c r="B71" s="36" t="inlineStr">
        <is>
          <t>Jean-Francois</t>
        </is>
      </c>
      <c r="C71" s="36" t="inlineStr">
        <is>
          <t>Venne</t>
        </is>
      </c>
      <c r="D71" s="37" t="inlineStr">
        <is>
          <t>Journaliste</t>
        </is>
      </c>
      <c r="E71" s="36" t="inlineStr">
        <is>
          <t>Pigiste</t>
        </is>
      </c>
      <c r="F71" s="36" t="inlineStr">
        <is>
          <t>jf_venne@videotron.ca</t>
        </is>
      </c>
      <c r="G71" s="36" t="n"/>
      <c r="H71" s="36" t="inlineStr">
        <is>
          <t>Montréal</t>
        </is>
      </c>
      <c r="I71" s="37" t="inlineStr">
        <is>
          <t>Environnement; Sciences; Économie</t>
        </is>
      </c>
      <c r="J71" s="36" t="n"/>
      <c r="K71" s="42" t="inlineStr">
        <is>
          <t>Ouvrir</t>
        </is>
      </c>
      <c r="L71" s="38" t="n"/>
      <c r="M71" s="38" t="n"/>
      <c r="N71" s="39" t="n"/>
      <c r="O71" t="inlineStr">
        <is>
          <t>D</t>
        </is>
      </c>
      <c r="P71" t="inlineStr">
        <is>
          <t>Le monarque, l'asclepiade, et l'idee qu'il faut la rendre payante</t>
        </is>
      </c>
      <c r="Q71" t="inlineStr">
        <is>
          <t>Bonjour Jean-Francois,</t>
        </is>
      </c>
      <c r="R71" t="inlineStr">
        <is>
          <t>Adresse personnelle : individualiser vraiment</t>
        </is>
      </c>
    </row>
    <row r="72" ht="23.85" customHeight="1" s="26">
      <c r="A72" s="41" t="inlineStr">
        <is>
          <t>A</t>
        </is>
      </c>
      <c r="B72" s="36" t="inlineStr">
        <is>
          <t>Shahram</t>
        </is>
      </c>
      <c r="C72" s="36" t="inlineStr">
        <is>
          <t>Yazdanpanah</t>
        </is>
      </c>
      <c r="D72" s="37" t="inlineStr">
        <is>
          <t>Rédacteur en chef</t>
        </is>
      </c>
      <c r="E72" s="36" t="inlineStr">
        <is>
          <t>Medad</t>
        </is>
      </c>
      <c r="F72" s="36" t="inlineStr">
        <is>
          <t>shram.yazd@gmail.com</t>
        </is>
      </c>
      <c r="G72" s="36" t="inlineStr">
        <is>
          <t>438 738-8068</t>
        </is>
      </c>
      <c r="H72" s="36" t="inlineStr">
        <is>
          <t>Montréal</t>
        </is>
      </c>
      <c r="I72" s="37" t="inlineStr">
        <is>
          <t>Art de vivre; Consommation; Environnement; Plein air; Sciences; Économie</t>
        </is>
      </c>
      <c r="J72" s="36" t="n"/>
      <c r="K72" s="42" t="inlineStr">
        <is>
          <t>Ouvrir</t>
        </is>
      </c>
      <c r="L72" s="38" t="n"/>
      <c r="M72" s="38" t="n"/>
      <c r="N72" s="39" t="n"/>
      <c r="O72" t="inlineStr">
        <is>
          <t>F</t>
        </is>
      </c>
      <c r="P72" t="inlineStr">
        <is>
          <t>L'asclepiade contre le duvet, et ce que les tests disent vraiment</t>
        </is>
      </c>
      <c r="Q72" t="inlineStr">
        <is>
          <t>Bonjour Shahram,</t>
        </is>
      </c>
      <c r="R72" t="inlineStr">
        <is>
          <t>Adresse personnelle : individualiser vraiment</t>
        </is>
      </c>
    </row>
    <row r="73" ht="15" customHeight="1" s="26">
      <c r="A73" s="43" t="inlineStr">
        <is>
          <t>B</t>
        </is>
      </c>
      <c r="B73" s="36" t="inlineStr">
        <is>
          <t>Malika</t>
        </is>
      </c>
      <c r="C73" s="36" t="inlineStr">
        <is>
          <t>Alaoui</t>
        </is>
      </c>
      <c r="D73" s="37" t="inlineStr">
        <is>
          <t>Journaliste</t>
        </is>
      </c>
      <c r="E73" s="36" t="inlineStr">
        <is>
          <t>Pigiste</t>
        </is>
      </c>
      <c r="F73" s="36" t="inlineStr">
        <is>
          <t>alaoui.malika514@gmail.com</t>
        </is>
      </c>
      <c r="G73" s="36" t="n"/>
      <c r="H73" s="36" t="inlineStr">
        <is>
          <t>Montréal</t>
        </is>
      </c>
      <c r="I73" s="37" t="inlineStr">
        <is>
          <t>Art de vivre; Consommation; Environnement; Mode et beauté</t>
        </is>
      </c>
      <c r="J73" s="36" t="n"/>
      <c r="K73" s="42" t="inlineStr">
        <is>
          <t>Ouvrir</t>
        </is>
      </c>
      <c r="L73" s="38" t="n"/>
      <c r="M73" s="38" t="n"/>
      <c r="N73" s="39" t="n"/>
      <c r="O73" t="inlineStr">
        <is>
          <t>G</t>
        </is>
      </c>
      <c r="P73" t="inlineStr">
        <is>
          <t>Un manteau isole avec une mauvaise herbe, au premier episode de Dragons' Den</t>
        </is>
      </c>
      <c r="Q73" t="inlineStr">
        <is>
          <t>Bonjour Malika,</t>
        </is>
      </c>
      <c r="R73" t="inlineStr">
        <is>
          <t>Adresse personnelle : individualiser vraiment</t>
        </is>
      </c>
    </row>
    <row r="74" ht="15" customHeight="1" s="26">
      <c r="A74" s="43" t="inlineStr">
        <is>
          <t>B</t>
        </is>
      </c>
      <c r="B74" s="36" t="inlineStr">
        <is>
          <t>Yahia</t>
        </is>
      </c>
      <c r="C74" s="36" t="inlineStr">
        <is>
          <t>Arkat</t>
        </is>
      </c>
      <c r="D74" s="37" t="inlineStr">
        <is>
          <t>Journaliste</t>
        </is>
      </c>
      <c r="E74" s="36" t="inlineStr">
        <is>
          <t>Agence QMI</t>
        </is>
      </c>
      <c r="F74" s="36" t="inlineStr">
        <is>
          <t>dayenkan@yahoo.fr</t>
        </is>
      </c>
      <c r="G74" s="36" t="inlineStr">
        <is>
          <t>514 380-1997</t>
        </is>
      </c>
      <c r="H74" s="36" t="inlineStr">
        <is>
          <t>Montréal</t>
        </is>
      </c>
      <c r="I74" s="37" t="inlineStr">
        <is>
          <t>Environnement; Économie</t>
        </is>
      </c>
      <c r="J74" s="36" t="n"/>
      <c r="K74" s="42" t="inlineStr">
        <is>
          <t>Ouvrir</t>
        </is>
      </c>
      <c r="L74" s="38" t="n"/>
      <c r="M74" s="38" t="n"/>
      <c r="N74" s="39" t="n"/>
      <c r="O74" t="inlineStr">
        <is>
          <t>D</t>
        </is>
      </c>
      <c r="P74" t="inlineStr">
        <is>
          <t>Le monarque, l'asclepiade, et l'idee qu'il faut la rendre payante</t>
        </is>
      </c>
      <c r="Q74" t="inlineStr">
        <is>
          <t>Bonjour Yahia,</t>
        </is>
      </c>
    </row>
    <row r="75" ht="15" customHeight="1" s="26">
      <c r="A75" s="43" t="inlineStr">
        <is>
          <t>B</t>
        </is>
      </c>
      <c r="B75" s="36" t="inlineStr">
        <is>
          <t>MARC-OLIVIER</t>
        </is>
      </c>
      <c r="C75" s="36" t="inlineStr">
        <is>
          <t>BISSON</t>
        </is>
      </c>
      <c r="D75" s="37" t="inlineStr">
        <is>
          <t>Journaliste</t>
        </is>
      </c>
      <c r="E75" s="36" t="inlineStr">
        <is>
          <t>Pigiste</t>
        </is>
      </c>
      <c r="F75" s="36" t="inlineStr">
        <is>
          <t>mobisson@ledroit.com</t>
        </is>
      </c>
      <c r="G75" s="36" t="inlineStr">
        <is>
          <t>8192719156</t>
        </is>
      </c>
      <c r="H75" s="36" t="inlineStr">
        <is>
          <t>Laurentides</t>
        </is>
      </c>
      <c r="I75" s="37" t="inlineStr">
        <is>
          <t>Agriculture; Environnement</t>
        </is>
      </c>
      <c r="J75" s="36" t="n"/>
      <c r="K75" s="42" t="inlineStr">
        <is>
          <t>Ouvrir</t>
        </is>
      </c>
      <c r="L75" s="38" t="n"/>
      <c r="M75" s="38" t="n"/>
      <c r="N75" s="39" t="n"/>
      <c r="O75" t="inlineStr">
        <is>
          <t>C</t>
        </is>
      </c>
      <c r="P75" t="inlineStr">
        <is>
          <t>L'asclepiade, huit ans apres l'effondrement de la filiere</t>
        </is>
      </c>
      <c r="Q75" t="inlineStr">
        <is>
          <t>Bonjour MARC-OLIVIER,</t>
        </is>
      </c>
      <c r="R75" t="inlineStr">
        <is>
          <t>Adresse personnelle : individualiser vraiment</t>
        </is>
      </c>
    </row>
    <row r="76" ht="15" customHeight="1" s="26">
      <c r="A76" s="43" t="inlineStr">
        <is>
          <t>B</t>
        </is>
      </c>
      <c r="B76" s="36" t="inlineStr">
        <is>
          <t>Maïté</t>
        </is>
      </c>
      <c r="C76" s="36" t="inlineStr">
        <is>
          <t>Belmir</t>
        </is>
      </c>
      <c r="D76" s="37" t="inlineStr">
        <is>
          <t>Journaliste - chroniqueuse radio</t>
        </is>
      </c>
      <c r="E76" s="36" t="inlineStr">
        <is>
          <t>Pigiste</t>
        </is>
      </c>
      <c r="F76" s="36" t="inlineStr">
        <is>
          <t>belmirmaitepro@gmail.com</t>
        </is>
      </c>
      <c r="G76" s="36" t="n"/>
      <c r="H76" s="36" t="inlineStr">
        <is>
          <t>Montréal</t>
        </is>
      </c>
      <c r="I76" s="37" t="inlineStr">
        <is>
          <t>Consommation; Environnement</t>
        </is>
      </c>
      <c r="J76" s="36" t="n"/>
      <c r="K76" s="42" t="inlineStr">
        <is>
          <t>Ouvrir</t>
        </is>
      </c>
      <c r="L76" s="38" t="n"/>
      <c r="M76" s="38" t="n"/>
      <c r="N76" s="39" t="n"/>
      <c r="O76" t="inlineStr">
        <is>
          <t>D</t>
        </is>
      </c>
      <c r="P76" t="inlineStr">
        <is>
          <t>Le monarque, l'asclepiade, et l'idee qu'il faut la rendre payante</t>
        </is>
      </c>
      <c r="Q76" t="inlineStr">
        <is>
          <t>Bonjour Maïté,</t>
        </is>
      </c>
      <c r="R76" t="inlineStr">
        <is>
          <t>Adresse personnelle : individualiser vraiment</t>
        </is>
      </c>
    </row>
    <row r="77" ht="15" customHeight="1" s="26">
      <c r="A77" s="43" t="inlineStr">
        <is>
          <t>B</t>
        </is>
      </c>
      <c r="B77" s="36" t="inlineStr">
        <is>
          <t>André</t>
        </is>
      </c>
      <c r="C77" s="36" t="inlineStr">
        <is>
          <t>Bernard</t>
        </is>
      </c>
      <c r="D77" s="37" t="inlineStr">
        <is>
          <t>Journaliste - reporter</t>
        </is>
      </c>
      <c r="E77" s="36" t="inlineStr">
        <is>
          <t>Radio-Canada (Montréal)</t>
        </is>
      </c>
      <c r="F77" s="36" t="inlineStr">
        <is>
          <t>andre.bernard_tv@radio-canada.ca</t>
        </is>
      </c>
      <c r="G77" s="36" t="n"/>
      <c r="H77" s="36" t="inlineStr">
        <is>
          <t>Montréal</t>
        </is>
      </c>
      <c r="I77" s="37" t="inlineStr">
        <is>
          <t>Environnement; Sciences</t>
        </is>
      </c>
      <c r="J77" s="36" t="n"/>
      <c r="K77" s="42" t="inlineStr">
        <is>
          <t>Ouvrir</t>
        </is>
      </c>
      <c r="L77" s="38" t="n"/>
      <c r="M77" s="38" t="n"/>
      <c r="N77" s="39" t="n"/>
      <c r="O77" t="inlineStr">
        <is>
          <t>D</t>
        </is>
      </c>
      <c r="P77" t="inlineStr">
        <is>
          <t>Le monarque, l'asclepiade, et l'idee qu'il faut la rendre payante</t>
        </is>
      </c>
      <c r="Q77" t="inlineStr">
        <is>
          <t>Bonjour André,</t>
        </is>
      </c>
    </row>
    <row r="78" ht="15" customHeight="1" s="26">
      <c r="A78" s="43" t="inlineStr">
        <is>
          <t>B</t>
        </is>
      </c>
      <c r="B78" s="36" t="inlineStr">
        <is>
          <t>Didier</t>
        </is>
      </c>
      <c r="C78" s="36" t="inlineStr">
        <is>
          <t>Bert</t>
        </is>
      </c>
      <c r="D78" s="37" t="inlineStr">
        <is>
          <t>Journaliste indépendant</t>
        </is>
      </c>
      <c r="E78" s="36" t="inlineStr">
        <is>
          <t>Pigiste</t>
        </is>
      </c>
      <c r="F78" s="36" t="inlineStr">
        <is>
          <t>didier@didierbert.com</t>
        </is>
      </c>
      <c r="G78" s="36" t="inlineStr">
        <is>
          <t>514-654-9254</t>
        </is>
      </c>
      <c r="H78" s="36" t="inlineStr">
        <is>
          <t>France</t>
        </is>
      </c>
      <c r="I78" s="37" t="inlineStr">
        <is>
          <t>Sciences; Économie</t>
        </is>
      </c>
      <c r="J78" s="36" t="n"/>
      <c r="K78" s="42" t="inlineStr">
        <is>
          <t>Ouvrir</t>
        </is>
      </c>
      <c r="L78" s="38" t="n"/>
      <c r="M78" s="38" t="n"/>
      <c r="N78" s="39" t="n"/>
      <c r="O78" t="inlineStr">
        <is>
          <t>D</t>
        </is>
      </c>
      <c r="P78" t="inlineStr">
        <is>
          <t>Le monarque, l'asclepiade, et l'idee qu'il faut la rendre payante</t>
        </is>
      </c>
      <c r="Q78" t="inlineStr">
        <is>
          <t>Bonjour Didier,</t>
        </is>
      </c>
      <c r="R78" t="inlineStr">
        <is>
          <t>Adresse personnelle : individualiser vraiment</t>
        </is>
      </c>
    </row>
    <row r="79" ht="15" customHeight="1" s="26">
      <c r="A79" s="43" t="inlineStr">
        <is>
          <t>B</t>
        </is>
      </c>
      <c r="B79" s="36" t="inlineStr">
        <is>
          <t>Sophie-Andrée</t>
        </is>
      </c>
      <c r="C79" s="36" t="inlineStr">
        <is>
          <t>Blondin</t>
        </is>
      </c>
      <c r="D79" s="37" t="inlineStr">
        <is>
          <t>Journaliste- animatrice</t>
        </is>
      </c>
      <c r="E79" s="36" t="inlineStr">
        <is>
          <t>Radio-Canada (Montréal)</t>
        </is>
      </c>
      <c r="F79" s="36" t="inlineStr">
        <is>
          <t>sophie-andree.blondin@radio-canada.ca</t>
        </is>
      </c>
      <c r="G79" s="36" t="n"/>
      <c r="H79" s="36" t="inlineStr">
        <is>
          <t>Montréal</t>
        </is>
      </c>
      <c r="I79" s="37" t="inlineStr">
        <is>
          <t>Environnement; Sciences</t>
        </is>
      </c>
      <c r="J79" s="36" t="n"/>
      <c r="K79" s="42" t="inlineStr">
        <is>
          <t>Ouvrir</t>
        </is>
      </c>
      <c r="L79" s="38" t="n"/>
      <c r="M79" s="38" t="n"/>
      <c r="N79" s="39" t="n"/>
      <c r="O79" t="inlineStr">
        <is>
          <t>I</t>
        </is>
      </c>
      <c r="P79" t="inlineStr">
        <is>
          <t>Invite disponible : Lasclay a Dragons' Den le 17 septembre</t>
        </is>
      </c>
      <c r="Q79" t="inlineStr">
        <is>
          <t>Bonjour Sophie-Andrée,</t>
        </is>
      </c>
    </row>
    <row r="80" ht="15" customHeight="1" s="26">
      <c r="A80" s="43" t="inlineStr">
        <is>
          <t>B</t>
        </is>
      </c>
      <c r="B80" s="36" t="inlineStr">
        <is>
          <t>Pierre</t>
        </is>
      </c>
      <c r="C80" s="36" t="inlineStr">
        <is>
          <t>Brochu</t>
        </is>
      </c>
      <c r="D80" s="37" t="inlineStr">
        <is>
          <t>Réalisateur - recherchiste-scénariste</t>
        </is>
      </c>
      <c r="E80" s="36" t="inlineStr">
        <is>
          <t>Ubique Film</t>
        </is>
      </c>
      <c r="F80" s="36" t="inlineStr">
        <is>
          <t>pierre@ubiquefilm.com</t>
        </is>
      </c>
      <c r="G80" s="36" t="inlineStr">
        <is>
          <t>514-386-3390</t>
        </is>
      </c>
      <c r="H80" s="36" t="inlineStr">
        <is>
          <t>Estrie</t>
        </is>
      </c>
      <c r="I80" s="37" t="inlineStr">
        <is>
          <t>Environnement; Sciences</t>
        </is>
      </c>
      <c r="J80" s="36" t="n"/>
      <c r="K80" s="42" t="inlineStr">
        <is>
          <t>Ouvrir</t>
        </is>
      </c>
      <c r="L80" s="38" t="n"/>
      <c r="M80" s="38" t="n"/>
      <c r="N80" s="39" t="n"/>
      <c r="O80" t="inlineStr">
        <is>
          <t>I</t>
        </is>
      </c>
      <c r="P80" t="inlineStr">
        <is>
          <t>Invite disponible : Lasclay a Dragons' Den le 17 septembre</t>
        </is>
      </c>
      <c r="Q80" t="inlineStr">
        <is>
          <t>Bonjour Pierre,</t>
        </is>
      </c>
    </row>
    <row r="81" ht="15" customHeight="1" s="26">
      <c r="A81" s="43" t="inlineStr">
        <is>
          <t>B</t>
        </is>
      </c>
      <c r="B81" s="36" t="inlineStr">
        <is>
          <t>Gilles</t>
        </is>
      </c>
      <c r="C81" s="36" t="inlineStr">
        <is>
          <t>Bérubé</t>
        </is>
      </c>
      <c r="D81" s="37" t="inlineStr">
        <is>
          <t>Journaliste</t>
        </is>
      </c>
      <c r="E81" s="36" t="inlineStr">
        <is>
          <t>Pigiste</t>
        </is>
      </c>
      <c r="F81" s="36" t="inlineStr">
        <is>
          <t>gilles-berube@hotmail.com</t>
        </is>
      </c>
      <c r="G81" s="36" t="inlineStr">
        <is>
          <t>450 210-1362</t>
        </is>
      </c>
      <c r="H81" s="36" t="inlineStr">
        <is>
          <t>Montérégie</t>
        </is>
      </c>
      <c r="I81" s="37" t="inlineStr">
        <is>
          <t>Agriculture; Environnement</t>
        </is>
      </c>
      <c r="J81" s="36" t="n"/>
      <c r="K81" s="42" t="inlineStr">
        <is>
          <t>Ouvrir</t>
        </is>
      </c>
      <c r="L81" s="38" t="n"/>
      <c r="M81" s="38" t="n"/>
      <c r="N81" s="39" t="n"/>
      <c r="O81" t="inlineStr">
        <is>
          <t>C</t>
        </is>
      </c>
      <c r="P81" t="inlineStr">
        <is>
          <t>L'asclepiade, huit ans apres l'effondrement de la filiere</t>
        </is>
      </c>
      <c r="Q81" t="inlineStr">
        <is>
          <t>Bonjour Gilles,</t>
        </is>
      </c>
      <c r="R81" t="inlineStr">
        <is>
          <t>Adresse personnelle : individualiser vraiment</t>
        </is>
      </c>
    </row>
    <row r="82" ht="15" customHeight="1" s="26">
      <c r="A82" s="43" t="inlineStr">
        <is>
          <t>B</t>
        </is>
      </c>
      <c r="B82" s="36" t="inlineStr">
        <is>
          <t>Daphné</t>
        </is>
      </c>
      <c r="C82" s="36" t="inlineStr">
        <is>
          <t>Cameron</t>
        </is>
      </c>
      <c r="D82" s="37" t="inlineStr">
        <is>
          <t>Reporter</t>
        </is>
      </c>
      <c r="E82" s="36" t="inlineStr">
        <is>
          <t>La Presse</t>
        </is>
      </c>
      <c r="F82" s="36" t="inlineStr">
        <is>
          <t>dcameron@lapresse.ca</t>
        </is>
      </c>
      <c r="G82" s="36" t="inlineStr">
        <is>
          <t>514 285-7000, #4856</t>
        </is>
      </c>
      <c r="H82" s="36" t="inlineStr">
        <is>
          <t>Montréal</t>
        </is>
      </c>
      <c r="I82" s="37" t="inlineStr">
        <is>
          <t>Agriculture; Environnement</t>
        </is>
      </c>
      <c r="J82" s="36" t="n"/>
      <c r="K82" s="42" t="inlineStr">
        <is>
          <t>Ouvrir</t>
        </is>
      </c>
      <c r="L82" s="38" t="n"/>
      <c r="M82" s="38" t="n"/>
      <c r="N82" s="39" t="n"/>
      <c r="O82" t="inlineStr">
        <is>
          <t>C</t>
        </is>
      </c>
      <c r="P82" t="inlineStr">
        <is>
          <t>L'asclepiade, huit ans apres l'effondrement de la filiere</t>
        </is>
      </c>
      <c r="Q82" t="inlineStr">
        <is>
          <t>Bonjour Daphné,</t>
        </is>
      </c>
    </row>
    <row r="83" ht="15" customHeight="1" s="26">
      <c r="A83" s="43" t="inlineStr">
        <is>
          <t>B</t>
        </is>
      </c>
      <c r="B83" s="36" t="inlineStr">
        <is>
          <t>Godefroy Macaire</t>
        </is>
      </c>
      <c r="C83" s="36" t="inlineStr">
        <is>
          <t>Chabi</t>
        </is>
      </c>
      <c r="D83" s="37" t="inlineStr">
        <is>
          <t>Réalisateur-pupitre</t>
        </is>
      </c>
      <c r="E83" s="36" t="inlineStr">
        <is>
          <t>Radio-Canada Winnipeg</t>
        </is>
      </c>
      <c r="F83" s="36" t="inlineStr">
        <is>
          <t>godefroy.chabi@radio-canada.ca</t>
        </is>
      </c>
      <c r="G83" s="36" t="inlineStr">
        <is>
          <t>613 288-6600</t>
        </is>
      </c>
      <c r="H83" s="36" t="inlineStr">
        <is>
          <t>Canada anglais</t>
        </is>
      </c>
      <c r="I83" s="37" t="inlineStr">
        <is>
          <t>Environnement; Sciences</t>
        </is>
      </c>
      <c r="J83" s="36" t="n"/>
      <c r="K83" s="42" t="inlineStr">
        <is>
          <t>Ouvrir</t>
        </is>
      </c>
      <c r="L83" s="38" t="n"/>
      <c r="M83" s="38" t="n"/>
      <c r="N83" s="39" t="n"/>
      <c r="O83" t="inlineStr">
        <is>
          <t>B</t>
        </is>
      </c>
      <c r="P83" t="inlineStr">
        <is>
          <t>Canada anglais : Lasclay au premier episode de la 21e saison de Dragons' Den</t>
        </is>
      </c>
      <c r="Q83" t="inlineStr">
        <is>
          <t>Bonjour Godefroy Macaire,</t>
        </is>
      </c>
    </row>
    <row r="84" ht="15" customHeight="1" s="26">
      <c r="A84" s="43" t="inlineStr">
        <is>
          <t>B</t>
        </is>
      </c>
      <c r="B84" s="36" t="inlineStr">
        <is>
          <t>Sara</t>
        </is>
      </c>
      <c r="C84" s="36" t="inlineStr">
        <is>
          <t>Champagne</t>
        </is>
      </c>
      <c r="D84" s="37" t="inlineStr">
        <is>
          <t>Reporter</t>
        </is>
      </c>
      <c r="E84" s="36" t="inlineStr">
        <is>
          <t>La Presse</t>
        </is>
      </c>
      <c r="F84" s="36" t="inlineStr">
        <is>
          <t>schampagne@lapresse.ca</t>
        </is>
      </c>
      <c r="G84" s="36" t="inlineStr">
        <is>
          <t>514 285-7070</t>
        </is>
      </c>
      <c r="H84" s="36" t="inlineStr">
        <is>
          <t>Montréal</t>
        </is>
      </c>
      <c r="I84" s="37" t="inlineStr">
        <is>
          <t>Environnement; Sciences</t>
        </is>
      </c>
      <c r="J84" s="36" t="n"/>
      <c r="K84" s="42" t="inlineStr">
        <is>
          <t>Ouvrir</t>
        </is>
      </c>
      <c r="L84" s="38" t="n"/>
      <c r="M84" s="38" t="n"/>
      <c r="N84" s="39" t="n"/>
      <c r="O84" t="inlineStr">
        <is>
          <t>D</t>
        </is>
      </c>
      <c r="P84" t="inlineStr">
        <is>
          <t>Le monarque, l'asclepiade, et l'idee qu'il faut la rendre payante</t>
        </is>
      </c>
      <c r="Q84" t="inlineStr">
        <is>
          <t>Bonjour Sara,</t>
        </is>
      </c>
    </row>
    <row r="85" ht="15" customHeight="1" s="26">
      <c r="A85" s="43" t="inlineStr">
        <is>
          <t>B</t>
        </is>
      </c>
      <c r="B85" s="36" t="inlineStr">
        <is>
          <t>Sarah</t>
        </is>
      </c>
      <c r="C85" s="36" t="inlineStr">
        <is>
          <t>Champagne</t>
        </is>
      </c>
      <c r="D85" s="37" t="inlineStr">
        <is>
          <t>Journaliste</t>
        </is>
      </c>
      <c r="E85" s="36" t="inlineStr">
        <is>
          <t>Le Devoir</t>
        </is>
      </c>
      <c r="F85" s="36" t="inlineStr">
        <is>
          <t>schampagne@ledevoir.com</t>
        </is>
      </c>
      <c r="G85" s="36" t="inlineStr">
        <is>
          <t>514 985-3333</t>
        </is>
      </c>
      <c r="H85" s="36" t="inlineStr">
        <is>
          <t>Montréal</t>
        </is>
      </c>
      <c r="I85" s="37" t="inlineStr">
        <is>
          <t>Agriculture; Environnement</t>
        </is>
      </c>
      <c r="J85" s="36" t="n"/>
      <c r="K85" s="42" t="inlineStr">
        <is>
          <t>Ouvrir</t>
        </is>
      </c>
      <c r="L85" s="38" t="n"/>
      <c r="M85" s="38" t="n"/>
      <c r="N85" s="39" t="n"/>
      <c r="O85" t="inlineStr">
        <is>
          <t>C</t>
        </is>
      </c>
      <c r="P85" t="inlineStr">
        <is>
          <t>L'asclepiade, huit ans apres l'effondrement de la filiere</t>
        </is>
      </c>
      <c r="Q85" t="inlineStr">
        <is>
          <t>Bonjour Sarah,</t>
        </is>
      </c>
    </row>
    <row r="86" ht="15" customHeight="1" s="26">
      <c r="A86" s="43" t="inlineStr">
        <is>
          <t>B</t>
        </is>
      </c>
      <c r="B86" s="36" t="inlineStr">
        <is>
          <t>Éric-Pierre</t>
        </is>
      </c>
      <c r="C86" s="36" t="inlineStr">
        <is>
          <t>Champagne</t>
        </is>
      </c>
      <c r="D86" s="37" t="inlineStr">
        <is>
          <t>Reporter</t>
        </is>
      </c>
      <c r="E86" s="36" t="inlineStr">
        <is>
          <t>La Presse</t>
        </is>
      </c>
      <c r="F86" s="36" t="inlineStr">
        <is>
          <t>echampagne@lapresse.ca</t>
        </is>
      </c>
      <c r="G86" s="36" t="inlineStr">
        <is>
          <t>514 285-7070</t>
        </is>
      </c>
      <c r="H86" s="36" t="inlineStr">
        <is>
          <t>Montréal</t>
        </is>
      </c>
      <c r="I86" s="37" t="inlineStr">
        <is>
          <t>Environnement; Sciences</t>
        </is>
      </c>
      <c r="J86" s="36" t="n"/>
      <c r="K86" s="42" t="inlineStr">
        <is>
          <t>Ouvrir</t>
        </is>
      </c>
      <c r="L86" s="38" t="n"/>
      <c r="M86" s="38" t="n"/>
      <c r="N86" s="39" t="n"/>
      <c r="O86" t="inlineStr">
        <is>
          <t>D</t>
        </is>
      </c>
      <c r="P86" t="inlineStr">
        <is>
          <t>Le monarque, l'asclepiade, et l'idee qu'il faut la rendre payante</t>
        </is>
      </c>
      <c r="Q86" t="inlineStr">
        <is>
          <t>Bonjour Éric-Pierre,</t>
        </is>
      </c>
    </row>
    <row r="87" ht="15" customHeight="1" s="26">
      <c r="A87" s="43" t="inlineStr">
        <is>
          <t>B</t>
        </is>
      </c>
      <c r="B87" s="36" t="inlineStr">
        <is>
          <t>Marine</t>
        </is>
      </c>
      <c r="C87" s="36" t="inlineStr">
        <is>
          <t>Corniou</t>
        </is>
      </c>
      <c r="D87" s="37" t="inlineStr">
        <is>
          <t>Rédactrice en chef</t>
        </is>
      </c>
      <c r="E87" s="36" t="inlineStr">
        <is>
          <t>Québec Science</t>
        </is>
      </c>
      <c r="F87" s="36" t="inlineStr">
        <is>
          <t>m.corniou@quebecscience.qc.ca</t>
        </is>
      </c>
      <c r="G87" s="36" t="inlineStr">
        <is>
          <t>514 521-8356, #418</t>
        </is>
      </c>
      <c r="H87" s="36" t="inlineStr">
        <is>
          <t>Montréal</t>
        </is>
      </c>
      <c r="I87" s="37" t="inlineStr">
        <is>
          <t>Environnement; Sciences</t>
        </is>
      </c>
      <c r="J87" s="36" t="n"/>
      <c r="K87" s="42" t="inlineStr">
        <is>
          <t>Ouvrir</t>
        </is>
      </c>
      <c r="L87" s="38" t="n"/>
      <c r="M87" s="38" t="n"/>
      <c r="N87" s="39" t="n"/>
      <c r="O87" t="inlineStr">
        <is>
          <t>D</t>
        </is>
      </c>
      <c r="P87" t="inlineStr">
        <is>
          <t>Le monarque, l'asclepiade, et l'idee qu'il faut la rendre payante</t>
        </is>
      </c>
      <c r="Q87" t="inlineStr">
        <is>
          <t>Bonjour Marine,</t>
        </is>
      </c>
    </row>
    <row r="88" ht="15" customHeight="1" s="26">
      <c r="A88" s="43" t="inlineStr">
        <is>
          <t>B</t>
        </is>
      </c>
      <c r="B88" s="36" t="inlineStr">
        <is>
          <t>Catherine</t>
        </is>
      </c>
      <c r="C88" s="36" t="inlineStr">
        <is>
          <t>Crépeau</t>
        </is>
      </c>
      <c r="D88" s="37" t="inlineStr">
        <is>
          <t>journaliste</t>
        </is>
      </c>
      <c r="E88" s="36" t="inlineStr">
        <is>
          <t>Protégez-Vous</t>
        </is>
      </c>
      <c r="F88" s="36" t="inlineStr">
        <is>
          <t>ccrepeau@protegez-vous.ca</t>
        </is>
      </c>
      <c r="G88" s="36" t="n"/>
      <c r="H88" s="36" t="inlineStr">
        <is>
          <t>Montréal</t>
        </is>
      </c>
      <c r="I88" s="37" t="inlineStr">
        <is>
          <t>Consommation; Sciences</t>
        </is>
      </c>
      <c r="J88" s="36" t="n"/>
      <c r="K88" s="42" t="inlineStr">
        <is>
          <t>Ouvrir</t>
        </is>
      </c>
      <c r="L88" s="38" t="n"/>
      <c r="M88" s="38" t="n"/>
      <c r="N88" s="39" t="n"/>
      <c r="O88" t="inlineStr">
        <is>
          <t>D</t>
        </is>
      </c>
      <c r="P88" t="inlineStr">
        <is>
          <t>Le monarque, l'asclepiade, et l'idee qu'il faut la rendre payante</t>
        </is>
      </c>
      <c r="Q88" t="inlineStr">
        <is>
          <t>Bonjour Catherine,</t>
        </is>
      </c>
    </row>
    <row r="89" ht="15" customHeight="1" s="26">
      <c r="A89" s="43" t="inlineStr">
        <is>
          <t>B</t>
        </is>
      </c>
      <c r="B89" s="36" t="inlineStr">
        <is>
          <t>Laurence</t>
        </is>
      </c>
      <c r="C89" s="36" t="inlineStr">
        <is>
          <t>Dami-Houle</t>
        </is>
      </c>
      <c r="D89" s="37" t="inlineStr">
        <is>
          <t>Journaliste coordoonatrice</t>
        </is>
      </c>
      <c r="E89" s="36" t="inlineStr">
        <is>
          <t>C F I M - 92,7 FM</t>
        </is>
      </c>
      <c r="F89" s="36" t="inlineStr">
        <is>
          <t>laurencedami@cfim.ca</t>
        </is>
      </c>
      <c r="G89" s="36" t="inlineStr">
        <is>
          <t>4189865233</t>
        </is>
      </c>
      <c r="H89" s="36" t="inlineStr">
        <is>
          <t>Est-du-Québec</t>
        </is>
      </c>
      <c r="I89" s="37" t="inlineStr">
        <is>
          <t>Environnement; Sciences</t>
        </is>
      </c>
      <c r="J89" s="36" t="n"/>
      <c r="K89" s="42" t="inlineStr">
        <is>
          <t>Ouvrir</t>
        </is>
      </c>
      <c r="L89" s="38" t="n"/>
      <c r="M89" s="38" t="n"/>
      <c r="N89" s="39" t="n"/>
      <c r="O89" t="inlineStr">
        <is>
          <t>B</t>
        </is>
      </c>
      <c r="P89" t="inlineStr">
        <is>
          <t>Est-du-Québec : Lasclay au premier episode de la 21e saison de Dragons' Den</t>
        </is>
      </c>
      <c r="Q89" t="inlineStr">
        <is>
          <t>Bonjour Laurence,</t>
        </is>
      </c>
    </row>
    <row r="90" ht="15" customHeight="1" s="26">
      <c r="A90" s="43" t="inlineStr">
        <is>
          <t>B</t>
        </is>
      </c>
      <c r="B90" s="36" t="inlineStr">
        <is>
          <t>Amélie</t>
        </is>
      </c>
      <c r="C90" s="36" t="inlineStr">
        <is>
          <t>Daoust-Boisvert</t>
        </is>
      </c>
      <c r="D90" s="37" t="inlineStr">
        <is>
          <t>Journaliste et professeure</t>
        </is>
      </c>
      <c r="E90" s="36" t="inlineStr">
        <is>
          <t>Pigiste</t>
        </is>
      </c>
      <c r="F90" s="36" t="inlineStr">
        <is>
          <t>amelie.daoust-boisvert@concordia.ca</t>
        </is>
      </c>
      <c r="G90" s="36" t="n"/>
      <c r="H90" s="36" t="inlineStr">
        <is>
          <t>Montérégie</t>
        </is>
      </c>
      <c r="I90" s="37" t="inlineStr">
        <is>
          <t>Environnement; Sciences</t>
        </is>
      </c>
      <c r="J90" s="36" t="n"/>
      <c r="K90" s="42" t="inlineStr">
        <is>
          <t>Ouvrir</t>
        </is>
      </c>
      <c r="L90" s="38" t="n"/>
      <c r="M90" s="38" t="n"/>
      <c r="N90" s="39" t="n"/>
      <c r="O90" t="inlineStr">
        <is>
          <t>D</t>
        </is>
      </c>
      <c r="P90" t="inlineStr">
        <is>
          <t>Le monarque, l'asclepiade, et l'idee qu'il faut la rendre payante</t>
        </is>
      </c>
      <c r="Q90" t="inlineStr">
        <is>
          <t>Bonjour Amélie,</t>
        </is>
      </c>
      <c r="R90" t="inlineStr">
        <is>
          <t>Adresse personnelle : individualiser vraiment</t>
        </is>
      </c>
    </row>
    <row r="91" ht="15" customHeight="1" s="26">
      <c r="A91" s="43" t="inlineStr">
        <is>
          <t>B</t>
        </is>
      </c>
      <c r="B91" s="36" t="inlineStr">
        <is>
          <t>Dominique</t>
        </is>
      </c>
      <c r="C91" s="36" t="inlineStr">
        <is>
          <t>Degré</t>
        </is>
      </c>
      <c r="D91" s="37" t="inlineStr">
        <is>
          <t>Journaliste et chef de pupitre</t>
        </is>
      </c>
      <c r="E91" s="36" t="inlineStr">
        <is>
          <t>Radio-Canada</t>
        </is>
      </c>
      <c r="F91" s="36" t="inlineStr">
        <is>
          <t>dominique.degre@radio-canada.ca</t>
        </is>
      </c>
      <c r="G91" s="36" t="n"/>
      <c r="H91" s="36" t="inlineStr">
        <is>
          <t>Montérégie</t>
        </is>
      </c>
      <c r="I91" s="37" t="inlineStr">
        <is>
          <t>Environnement; Sciences</t>
        </is>
      </c>
      <c r="J91" s="36" t="n"/>
      <c r="K91" s="42" t="inlineStr">
        <is>
          <t>Ouvrir</t>
        </is>
      </c>
      <c r="L91" s="38" t="n"/>
      <c r="M91" s="38" t="n"/>
      <c r="N91" s="39" t="n"/>
      <c r="O91" t="inlineStr">
        <is>
          <t>B</t>
        </is>
      </c>
      <c r="P91" t="inlineStr">
        <is>
          <t>Montérégie : Lasclay au premier episode de la 21e saison de Dragons' Den</t>
        </is>
      </c>
      <c r="Q91" t="inlineStr">
        <is>
          <t>Bonjour Dominique,</t>
        </is>
      </c>
    </row>
    <row r="92" ht="15" customHeight="1" s="26">
      <c r="A92" s="43" t="inlineStr">
        <is>
          <t>B</t>
        </is>
      </c>
      <c r="B92" s="36" t="inlineStr">
        <is>
          <t>Quentin</t>
        </is>
      </c>
      <c r="C92" s="36" t="inlineStr">
        <is>
          <t>Dufranne</t>
        </is>
      </c>
      <c r="D92" s="37" t="inlineStr">
        <is>
          <t>Journaliste</t>
        </is>
      </c>
      <c r="E92" s="36" t="inlineStr">
        <is>
          <t>Pigiste</t>
        </is>
      </c>
      <c r="F92" s="36" t="inlineStr">
        <is>
          <t>quentin.dufranne@gmail.com</t>
        </is>
      </c>
      <c r="G92" s="36" t="inlineStr">
        <is>
          <t>4386302056</t>
        </is>
      </c>
      <c r="H92" s="36" t="inlineStr">
        <is>
          <t>Montréal</t>
        </is>
      </c>
      <c r="I92" s="37" t="inlineStr">
        <is>
          <t>Environnement; Sciences</t>
        </is>
      </c>
      <c r="J92" s="36" t="n"/>
      <c r="K92" s="42" t="inlineStr">
        <is>
          <t>Ouvrir</t>
        </is>
      </c>
      <c r="L92" s="38" t="n"/>
      <c r="M92" s="38" t="n"/>
      <c r="N92" s="39" t="n"/>
      <c r="O92" t="inlineStr">
        <is>
          <t>D</t>
        </is>
      </c>
      <c r="P92" t="inlineStr">
        <is>
          <t>Le monarque, l'asclepiade, et l'idee qu'il faut la rendre payante</t>
        </is>
      </c>
      <c r="Q92" t="inlineStr">
        <is>
          <t>Bonjour Quentin,</t>
        </is>
      </c>
      <c r="R92" t="inlineStr">
        <is>
          <t>Adresse personnelle : individualiser vraiment</t>
        </is>
      </c>
    </row>
    <row r="93" ht="15" customHeight="1" s="26">
      <c r="A93" s="43" t="inlineStr">
        <is>
          <t>B</t>
        </is>
      </c>
      <c r="B93" s="36" t="inlineStr">
        <is>
          <t>Ève</t>
        </is>
      </c>
      <c r="C93" s="36" t="inlineStr">
        <is>
          <t>Dumas</t>
        </is>
      </c>
      <c r="D93" s="37" t="inlineStr">
        <is>
          <t>Reporter</t>
        </is>
      </c>
      <c r="E93" s="36" t="inlineStr">
        <is>
          <t>La Presse</t>
        </is>
      </c>
      <c r="F93" s="36" t="inlineStr">
        <is>
          <t>edumas@lapresse.ca</t>
        </is>
      </c>
      <c r="G93" s="36" t="inlineStr">
        <is>
          <t>514 285-7070</t>
        </is>
      </c>
      <c r="H93" s="36" t="inlineStr">
        <is>
          <t>Montréal</t>
        </is>
      </c>
      <c r="I93" s="37" t="inlineStr">
        <is>
          <t>Agriculture; Art de vivre; Consommation</t>
        </is>
      </c>
      <c r="J93" s="36" t="n"/>
      <c r="K93" s="42" t="inlineStr">
        <is>
          <t>Ouvrir</t>
        </is>
      </c>
      <c r="L93" s="38" t="n"/>
      <c r="M93" s="38" t="n"/>
      <c r="N93" s="39" t="n"/>
      <c r="O93" t="inlineStr">
        <is>
          <t>C</t>
        </is>
      </c>
      <c r="P93" t="inlineStr">
        <is>
          <t>L'asclepiade, huit ans apres l'effondrement de la filiere</t>
        </is>
      </c>
      <c r="Q93" t="inlineStr">
        <is>
          <t>Bonjour Ève,</t>
        </is>
      </c>
    </row>
    <row r="94" ht="15" customHeight="1" s="26">
      <c r="A94" s="43" t="inlineStr">
        <is>
          <t>B</t>
        </is>
      </c>
      <c r="B94" s="36" t="inlineStr">
        <is>
          <t>Michel</t>
        </is>
      </c>
      <c r="C94" s="36" t="inlineStr">
        <is>
          <t>Fortier</t>
        </is>
      </c>
      <c r="D94" s="37" t="inlineStr">
        <is>
          <t>Rédacteur en chef</t>
        </is>
      </c>
      <c r="E94" s="36" t="inlineStr">
        <is>
          <t>Journal des Citoyens</t>
        </is>
      </c>
      <c r="F94" s="36" t="inlineStr">
        <is>
          <t>mfortier@edprev.com</t>
        </is>
      </c>
      <c r="G94" s="36" t="inlineStr">
        <is>
          <t>450 602-2794</t>
        </is>
      </c>
      <c r="H94" s="36" t="inlineStr">
        <is>
          <t>Laurentides</t>
        </is>
      </c>
      <c r="I94" s="37" t="inlineStr">
        <is>
          <t>Art de vivre; Environnement; Plein air</t>
        </is>
      </c>
      <c r="J94" s="36" t="n"/>
      <c r="K94" s="42" t="inlineStr">
        <is>
          <t>Ouvrir</t>
        </is>
      </c>
      <c r="L94" s="38" t="n"/>
      <c r="M94" s="38" t="n"/>
      <c r="N94" s="39" t="n"/>
      <c r="O94" t="inlineStr">
        <is>
          <t>B</t>
        </is>
      </c>
      <c r="P94" t="inlineStr">
        <is>
          <t>Laurentides : Lasclay au premier episode de la 21e saison de Dragons' Den</t>
        </is>
      </c>
      <c r="Q94" t="inlineStr">
        <is>
          <t>Bonjour Michel,</t>
        </is>
      </c>
    </row>
    <row r="95" ht="15" customHeight="1" s="26">
      <c r="A95" s="43" t="inlineStr">
        <is>
          <t>B</t>
        </is>
      </c>
      <c r="B95" s="36" t="inlineStr">
        <is>
          <t>Marie-Eve</t>
        </is>
      </c>
      <c r="C95" s="36" t="inlineStr">
        <is>
          <t>Fournier</t>
        </is>
      </c>
      <c r="D95" s="37" t="inlineStr">
        <is>
          <t>Chroniqueuse</t>
        </is>
      </c>
      <c r="E95" s="36" t="inlineStr">
        <is>
          <t>La Presse</t>
        </is>
      </c>
      <c r="F95" s="36" t="inlineStr">
        <is>
          <t>mfournier@lapresse.ca</t>
        </is>
      </c>
      <c r="G95" s="36" t="inlineStr">
        <is>
          <t>514 285-7000, #4912</t>
        </is>
      </c>
      <c r="H95" s="36" t="inlineStr">
        <is>
          <t>Montréal</t>
        </is>
      </c>
      <c r="I95" s="37" t="inlineStr">
        <is>
          <t>Consommation; Économie</t>
        </is>
      </c>
      <c r="J95" s="36" t="n"/>
      <c r="K95" s="42" t="inlineStr">
        <is>
          <t>Ouvrir</t>
        </is>
      </c>
      <c r="L95" s="38" t="n"/>
      <c r="M95" s="38" t="n"/>
      <c r="N95" s="39" t="n"/>
      <c r="O95" t="inlineStr">
        <is>
          <t>E</t>
        </is>
      </c>
      <c r="P95" t="inlineStr">
        <is>
          <t>Une PME qui a rapatrie sa production, puis en a delocalise une partie</t>
        </is>
      </c>
      <c r="Q95" t="inlineStr">
        <is>
          <t>Bonjour Marie-Eve,</t>
        </is>
      </c>
    </row>
    <row r="96" ht="15" customHeight="1" s="26">
      <c r="A96" s="43" t="inlineStr">
        <is>
          <t>B</t>
        </is>
      </c>
      <c r="B96" s="36" t="inlineStr">
        <is>
          <t>Raymond</t>
        </is>
      </c>
      <c r="C96" s="36" t="inlineStr">
        <is>
          <t>Fournier</t>
        </is>
      </c>
      <c r="D96" s="37" t="inlineStr">
        <is>
          <t>Journaliste scientifique indépendant</t>
        </is>
      </c>
      <c r="E96" s="36" t="inlineStr">
        <is>
          <t>Agence Science Presse</t>
        </is>
      </c>
      <c r="F96" s="36" t="inlineStr">
        <is>
          <t>cosmos_management@hotmail.com</t>
        </is>
      </c>
      <c r="G96" s="36" t="inlineStr">
        <is>
          <t>15143474854</t>
        </is>
      </c>
      <c r="H96" s="36" t="inlineStr">
        <is>
          <t>Montérégie</t>
        </is>
      </c>
      <c r="I96" s="37" t="inlineStr">
        <is>
          <t>Environnement; Sciences</t>
        </is>
      </c>
      <c r="J96" s="36" t="n"/>
      <c r="K96" s="42" t="inlineStr">
        <is>
          <t>Ouvrir</t>
        </is>
      </c>
      <c r="L96" s="38" t="n"/>
      <c r="M96" s="38" t="n"/>
      <c r="N96" s="39" t="n"/>
      <c r="O96" t="inlineStr">
        <is>
          <t>B</t>
        </is>
      </c>
      <c r="P96" t="inlineStr">
        <is>
          <t>Montérégie : Lasclay au premier episode de la 21e saison de Dragons' Den</t>
        </is>
      </c>
      <c r="Q96" t="inlineStr">
        <is>
          <t>Bonjour Raymond,</t>
        </is>
      </c>
      <c r="R96" t="inlineStr">
        <is>
          <t>Adresse personnelle : individualiser vraiment</t>
        </is>
      </c>
    </row>
    <row r="97" ht="15" customHeight="1" s="26">
      <c r="A97" s="43" t="inlineStr">
        <is>
          <t>B</t>
        </is>
      </c>
      <c r="B97" s="36" t="inlineStr">
        <is>
          <t>Marie-Pier</t>
        </is>
      </c>
      <c r="C97" s="36" t="inlineStr">
        <is>
          <t>Frappier</t>
        </is>
      </c>
      <c r="D97" s="37" t="inlineStr">
        <is>
          <t>Directrice de l'information</t>
        </is>
      </c>
      <c r="E97" s="36" t="inlineStr">
        <is>
          <t>Les Affaires</t>
        </is>
      </c>
      <c r="F97" s="36" t="inlineStr">
        <is>
          <t>marie-pier.frappier@groupecontex.ca</t>
        </is>
      </c>
      <c r="G97" s="36" t="inlineStr">
        <is>
          <t>514-569-9448</t>
        </is>
      </c>
      <c r="H97" s="36" t="inlineStr">
        <is>
          <t>Montréal</t>
        </is>
      </c>
      <c r="I97" s="37" t="inlineStr">
        <is>
          <t>Consommation; Économie</t>
        </is>
      </c>
      <c r="J97" s="36" t="n"/>
      <c r="K97" s="42" t="inlineStr">
        <is>
          <t>Ouvrir</t>
        </is>
      </c>
      <c r="L97" s="38" t="n"/>
      <c r="M97" s="38" t="n"/>
      <c r="N97" s="39" t="n"/>
      <c r="O97" t="inlineStr">
        <is>
          <t>E</t>
        </is>
      </c>
      <c r="P97" t="inlineStr">
        <is>
          <t>Une PME qui a rapatrie sa production, puis en a delocalise une partie</t>
        </is>
      </c>
      <c r="Q97" t="inlineStr">
        <is>
          <t>Bonjour Marie-Pier,</t>
        </is>
      </c>
    </row>
    <row r="98" ht="15" customHeight="1" s="26">
      <c r="A98" s="43" t="inlineStr">
        <is>
          <t>B</t>
        </is>
      </c>
      <c r="B98" s="36" t="inlineStr">
        <is>
          <t>Marie-Julie</t>
        </is>
      </c>
      <c r="C98" s="36" t="inlineStr">
        <is>
          <t>Gagnon</t>
        </is>
      </c>
      <c r="D98" s="37" t="inlineStr">
        <is>
          <t>Journaliste, chroniqueuse et recherchiste</t>
        </is>
      </c>
      <c r="E98" s="36" t="inlineStr">
        <is>
          <t>Pigiste</t>
        </is>
      </c>
      <c r="F98" s="36" t="inlineStr">
        <is>
          <t>mjtornado@gmail.com</t>
        </is>
      </c>
      <c r="G98" s="36" t="inlineStr">
        <is>
          <t>5145784989</t>
        </is>
      </c>
      <c r="H98" s="36" t="inlineStr">
        <is>
          <t>Montérégie</t>
        </is>
      </c>
      <c r="I98" s="37" t="inlineStr">
        <is>
          <t>Art de vivre; Environnement; Plein air</t>
        </is>
      </c>
      <c r="J98" s="36" t="n"/>
      <c r="K98" s="42" t="inlineStr">
        <is>
          <t>Ouvrir</t>
        </is>
      </c>
      <c r="L98" s="38" t="n"/>
      <c r="M98" s="38" t="n"/>
      <c r="N98" s="39" t="n"/>
      <c r="O98" t="inlineStr">
        <is>
          <t>I</t>
        </is>
      </c>
      <c r="P98" t="inlineStr">
        <is>
          <t>Invite disponible : Lasclay a Dragons' Den le 17 septembre</t>
        </is>
      </c>
      <c r="Q98" t="inlineStr">
        <is>
          <t>Bonjour Marie-Julie,</t>
        </is>
      </c>
      <c r="R98" t="inlineStr">
        <is>
          <t>Adresse personnelle : individualiser vraiment</t>
        </is>
      </c>
    </row>
    <row r="99" ht="15" customHeight="1" s="26">
      <c r="A99" s="43" t="inlineStr">
        <is>
          <t>B</t>
        </is>
      </c>
      <c r="B99" s="36" t="inlineStr">
        <is>
          <t>Chloé</t>
        </is>
      </c>
      <c r="C99" s="36" t="inlineStr">
        <is>
          <t>Germain-Thérien</t>
        </is>
      </c>
      <c r="D99" s="37" t="inlineStr">
        <is>
          <t>Caricaturiste</t>
        </is>
      </c>
      <c r="E99" s="36" t="inlineStr">
        <is>
          <t>Le Devoir</t>
        </is>
      </c>
      <c r="F99" s="36" t="inlineStr">
        <is>
          <t>cgermain@ledevoir.com</t>
        </is>
      </c>
      <c r="G99" s="36" t="inlineStr">
        <is>
          <t>514-462-4463</t>
        </is>
      </c>
      <c r="H99" s="36" t="inlineStr">
        <is>
          <t>Mauricie</t>
        </is>
      </c>
      <c r="I99" s="37" t="inlineStr">
        <is>
          <t>Agriculture; Environnement</t>
        </is>
      </c>
      <c r="J99" s="36" t="n"/>
      <c r="K99" s="42" t="inlineStr">
        <is>
          <t>Ouvrir</t>
        </is>
      </c>
      <c r="L99" s="38" t="n"/>
      <c r="M99" s="38" t="n"/>
      <c r="N99" s="39" t="n"/>
      <c r="O99" t="inlineStr">
        <is>
          <t>C</t>
        </is>
      </c>
      <c r="P99" t="inlineStr">
        <is>
          <t>L'asclepiade, huit ans apres l'effondrement de la filiere</t>
        </is>
      </c>
      <c r="Q99" t="inlineStr">
        <is>
          <t>Bonjour Chloé,</t>
        </is>
      </c>
    </row>
    <row r="100" ht="15" customHeight="1" s="26">
      <c r="A100" s="43" t="inlineStr">
        <is>
          <t>B</t>
        </is>
      </c>
      <c r="B100" s="36" t="inlineStr">
        <is>
          <t>Charlotte</t>
        </is>
      </c>
      <c r="C100" s="36" t="inlineStr">
        <is>
          <t>Glorieux</t>
        </is>
      </c>
      <c r="D100" s="37" t="inlineStr">
        <is>
          <t>journaliste pigiste</t>
        </is>
      </c>
      <c r="E100" s="36" t="inlineStr">
        <is>
          <t>Pigiste</t>
        </is>
      </c>
      <c r="F100" s="36" t="inlineStr">
        <is>
          <t>glorieux.charlotte@gmail.com</t>
        </is>
      </c>
      <c r="G100" s="36" t="inlineStr">
        <is>
          <t>4384910850</t>
        </is>
      </c>
      <c r="H100" s="36" t="inlineStr">
        <is>
          <t>Montréal</t>
        </is>
      </c>
      <c r="I100" s="37" t="inlineStr">
        <is>
          <t>Art de vivre; Environnement; Plein air</t>
        </is>
      </c>
      <c r="J100" s="36" t="n"/>
      <c r="K100" s="42" t="inlineStr">
        <is>
          <t>Ouvrir</t>
        </is>
      </c>
      <c r="L100" s="38" t="n"/>
      <c r="M100" s="38" t="n"/>
      <c r="N100" s="39" t="n"/>
      <c r="O100" t="inlineStr">
        <is>
          <t>F</t>
        </is>
      </c>
      <c r="P100" t="inlineStr">
        <is>
          <t>L'asclepiade contre le duvet, et ce que les tests disent vraiment</t>
        </is>
      </c>
      <c r="Q100" t="inlineStr">
        <is>
          <t>Bonjour Charlotte,</t>
        </is>
      </c>
      <c r="R100" t="inlineStr">
        <is>
          <t>Adresse personnelle : individualiser vraiment</t>
        </is>
      </c>
    </row>
    <row r="101" ht="15" customHeight="1" s="26">
      <c r="A101" s="43" t="inlineStr">
        <is>
          <t>B</t>
        </is>
      </c>
      <c r="B101" s="36" t="inlineStr">
        <is>
          <t>Annie</t>
        </is>
      </c>
      <c r="C101" s="36" t="inlineStr">
        <is>
          <t>Hudon</t>
        </is>
      </c>
      <c r="D101" s="37" t="inlineStr">
        <is>
          <t>Journaliste</t>
        </is>
      </c>
      <c r="E101" s="36" t="inlineStr">
        <is>
          <t>Radio-Canada (Montréal)</t>
        </is>
      </c>
      <c r="F101" s="36" t="inlineStr">
        <is>
          <t>annie.hudon-friceau@radio-canada.ca</t>
        </is>
      </c>
      <c r="G101" s="36" t="inlineStr">
        <is>
          <t>514 597-5000</t>
        </is>
      </c>
      <c r="H101" s="36" t="inlineStr">
        <is>
          <t>Montréal</t>
        </is>
      </c>
      <c r="I101" s="37" t="inlineStr">
        <is>
          <t>Consommation; Économie</t>
        </is>
      </c>
      <c r="J101" s="36" t="n"/>
      <c r="K101" s="42" t="inlineStr">
        <is>
          <t>Ouvrir</t>
        </is>
      </c>
      <c r="L101" s="38" t="n"/>
      <c r="M101" s="38" t="n"/>
      <c r="N101" s="39" t="n"/>
      <c r="O101" t="inlineStr">
        <is>
          <t>E</t>
        </is>
      </c>
      <c r="P101" t="inlineStr">
        <is>
          <t>Une PME qui a rapatrie sa production, puis en a delocalise une partie</t>
        </is>
      </c>
      <c r="Q101" t="inlineStr">
        <is>
          <t>Bonjour Annie,</t>
        </is>
      </c>
    </row>
    <row r="102" ht="15" customHeight="1" s="26">
      <c r="A102" s="43" t="inlineStr">
        <is>
          <t>B</t>
        </is>
      </c>
      <c r="B102" s="36" t="inlineStr">
        <is>
          <t>Ahmed</t>
        </is>
      </c>
      <c r="C102" s="36" t="inlineStr">
        <is>
          <t>Kouaou</t>
        </is>
      </c>
      <c r="D102" s="37" t="inlineStr">
        <is>
          <t>Journaliste</t>
        </is>
      </c>
      <c r="E102" s="36" t="inlineStr">
        <is>
          <t>Radio-Canada (Montréal)</t>
        </is>
      </c>
      <c r="F102" s="36" t="inlineStr">
        <is>
          <t>ahmed.kouaou@radio-canada.ca</t>
        </is>
      </c>
      <c r="G102" s="36" t="inlineStr">
        <is>
          <t>514 597-5057</t>
        </is>
      </c>
      <c r="H102" s="36" t="inlineStr">
        <is>
          <t>Montréal</t>
        </is>
      </c>
      <c r="I102" s="37" t="inlineStr">
        <is>
          <t>Environnement; Économie</t>
        </is>
      </c>
      <c r="J102" s="36" t="n"/>
      <c r="K102" s="42" t="inlineStr">
        <is>
          <t>Ouvrir</t>
        </is>
      </c>
      <c r="L102" s="38" t="n"/>
      <c r="M102" s="38" t="n"/>
      <c r="N102" s="39" t="n"/>
      <c r="O102" t="inlineStr">
        <is>
          <t>D</t>
        </is>
      </c>
      <c r="P102" t="inlineStr">
        <is>
          <t>Le monarque, l'asclepiade, et l'idee qu'il faut la rendre payante</t>
        </is>
      </c>
      <c r="Q102" t="inlineStr">
        <is>
          <t>Bonjour Ahmed,</t>
        </is>
      </c>
    </row>
    <row r="103" ht="15" customHeight="1" s="26">
      <c r="A103" s="43" t="inlineStr">
        <is>
          <t>B</t>
        </is>
      </c>
      <c r="B103" s="36" t="inlineStr">
        <is>
          <t>Tania</t>
        </is>
      </c>
      <c r="C103" s="36" t="inlineStr">
        <is>
          <t>Krywiak</t>
        </is>
      </c>
      <c r="D103" s="37" t="inlineStr">
        <is>
          <t>Managing Editor CTV Montreal and CJAD</t>
        </is>
      </c>
      <c r="E103" s="36" t="inlineStr">
        <is>
          <t>Bell Média</t>
        </is>
      </c>
      <c r="F103" s="36" t="inlineStr">
        <is>
          <t>tania.krywiak@bellmedia.ca</t>
        </is>
      </c>
      <c r="G103" s="36" t="n"/>
      <c r="H103" s="36" t="inlineStr">
        <is>
          <t>Montréal</t>
        </is>
      </c>
      <c r="I103" s="37" t="inlineStr">
        <is>
          <t>Consommation; Sciences</t>
        </is>
      </c>
      <c r="J103" s="36" t="n"/>
      <c r="K103" s="42" t="inlineStr">
        <is>
          <t>Ouvrir</t>
        </is>
      </c>
      <c r="L103" s="38" t="n"/>
      <c r="M103" s="38" t="n"/>
      <c r="N103" s="39" t="n"/>
      <c r="O103" t="inlineStr">
        <is>
          <t>D</t>
        </is>
      </c>
      <c r="P103" t="inlineStr">
        <is>
          <t>Le monarque, l'asclepiade, et l'idee qu'il faut la rendre payante</t>
        </is>
      </c>
      <c r="Q103" t="inlineStr">
        <is>
          <t>Bonjour Tania,</t>
        </is>
      </c>
    </row>
    <row r="104" ht="15" customHeight="1" s="26">
      <c r="A104" s="43" t="inlineStr">
        <is>
          <t>B</t>
        </is>
      </c>
      <c r="B104" s="36" t="inlineStr">
        <is>
          <t>Jacinthe</t>
        </is>
      </c>
      <c r="C104" s="36" t="inlineStr">
        <is>
          <t>Lafrance</t>
        </is>
      </c>
      <c r="D104" s="37" t="inlineStr">
        <is>
          <t>Journaliste</t>
        </is>
      </c>
      <c r="E104" s="36" t="inlineStr">
        <is>
          <t>Le Nouvelliste</t>
        </is>
      </c>
      <c r="F104" s="36" t="inlineStr">
        <is>
          <t>jlafrance@lenouvelliste.qc.ca</t>
        </is>
      </c>
      <c r="G104" s="36" t="inlineStr">
        <is>
          <t>819 376-2501</t>
        </is>
      </c>
      <c r="H104" s="36" t="inlineStr">
        <is>
          <t>Mauricie</t>
        </is>
      </c>
      <c r="I104" s="37" t="inlineStr">
        <is>
          <t>Consommation; Environnement</t>
        </is>
      </c>
      <c r="J104" s="36" t="n"/>
      <c r="K104" s="42" t="inlineStr">
        <is>
          <t>Ouvrir</t>
        </is>
      </c>
      <c r="L104" s="38" t="n"/>
      <c r="M104" s="38" t="n"/>
      <c r="N104" s="39" t="n"/>
      <c r="O104" t="inlineStr">
        <is>
          <t>B</t>
        </is>
      </c>
      <c r="P104" t="inlineStr">
        <is>
          <t>Mauricie : Lasclay au premier episode de la 21e saison de Dragons' Den</t>
        </is>
      </c>
      <c r="Q104" t="inlineStr">
        <is>
          <t>Bonjour Jacinthe,</t>
        </is>
      </c>
    </row>
    <row r="105" ht="15" customHeight="1" s="26">
      <c r="A105" s="43" t="inlineStr">
        <is>
          <t>B</t>
        </is>
      </c>
      <c r="B105" s="36" t="inlineStr">
        <is>
          <t>Bruno</t>
        </is>
      </c>
      <c r="C105" s="36" t="inlineStr">
        <is>
          <t>Lamolet</t>
        </is>
      </c>
      <c r="D105" s="37" t="inlineStr">
        <is>
          <t>Journaliste et rédacteur en chef adjoint</t>
        </is>
      </c>
      <c r="E105" s="36" t="inlineStr">
        <is>
          <t>Québec Science</t>
        </is>
      </c>
      <c r="F105" s="36" t="inlineStr">
        <is>
          <t>blamolet@quebecscience.qc.ca</t>
        </is>
      </c>
      <c r="G105" s="36" t="inlineStr">
        <is>
          <t>514 429 1314</t>
        </is>
      </c>
      <c r="H105" s="36" t="inlineStr">
        <is>
          <t>Montérégie</t>
        </is>
      </c>
      <c r="I105" s="37" t="inlineStr">
        <is>
          <t>Plein air; Sciences</t>
        </is>
      </c>
      <c r="J105" s="36" t="n"/>
      <c r="K105" s="42" t="inlineStr">
        <is>
          <t>Ouvrir</t>
        </is>
      </c>
      <c r="L105" s="38" t="n"/>
      <c r="M105" s="38" t="n"/>
      <c r="N105" s="39" t="n"/>
      <c r="O105" t="inlineStr">
        <is>
          <t>F</t>
        </is>
      </c>
      <c r="P105" t="inlineStr">
        <is>
          <t>L'asclepiade contre le duvet, et ce que les tests disent vraiment</t>
        </is>
      </c>
      <c r="Q105" t="inlineStr">
        <is>
          <t>Bonjour Bruno,</t>
        </is>
      </c>
    </row>
    <row r="106" ht="15" customHeight="1" s="26">
      <c r="A106" s="43" t="inlineStr">
        <is>
          <t>B</t>
        </is>
      </c>
      <c r="B106" s="36" t="inlineStr">
        <is>
          <t>Yvan</t>
        </is>
      </c>
      <c r="C106" s="36" t="inlineStr">
        <is>
          <t>Lamontagne</t>
        </is>
      </c>
      <c r="D106" s="37" t="inlineStr">
        <is>
          <t>Journaliste - reporter</t>
        </is>
      </c>
      <c r="E106" s="36" t="inlineStr">
        <is>
          <t>Radio-Canada (Montréal)</t>
        </is>
      </c>
      <c r="F106" s="36" t="inlineStr">
        <is>
          <t>yvan.lamontagne@radio-canada.ca</t>
        </is>
      </c>
      <c r="G106" s="36" t="inlineStr">
        <is>
          <t>514 597-3538</t>
        </is>
      </c>
      <c r="H106" s="36" t="inlineStr">
        <is>
          <t>Estrie</t>
        </is>
      </c>
      <c r="I106" s="37" t="inlineStr">
        <is>
          <t>Consommation; Économie</t>
        </is>
      </c>
      <c r="J106" s="36" t="n"/>
      <c r="K106" s="42" t="inlineStr">
        <is>
          <t>Ouvrir</t>
        </is>
      </c>
      <c r="L106" s="38" t="n"/>
      <c r="M106" s="38" t="n"/>
      <c r="N106" s="39" t="n"/>
      <c r="O106" t="inlineStr">
        <is>
          <t>E</t>
        </is>
      </c>
      <c r="P106" t="inlineStr">
        <is>
          <t>Une PME qui a rapatrie sa production, puis en a delocalise une partie</t>
        </is>
      </c>
      <c r="Q106" t="inlineStr">
        <is>
          <t>Bonjour Yvan,</t>
        </is>
      </c>
    </row>
    <row r="107" ht="15" customHeight="1" s="26">
      <c r="A107" s="43" t="inlineStr">
        <is>
          <t>B</t>
        </is>
      </c>
      <c r="B107" s="36" t="inlineStr">
        <is>
          <t>Yves</t>
        </is>
      </c>
      <c r="C107" s="36" t="inlineStr">
        <is>
          <t>Langlois</t>
        </is>
      </c>
      <c r="D107" s="37" t="inlineStr">
        <is>
          <t>Journaliste - réalisateur</t>
        </is>
      </c>
      <c r="E107" s="36" t="inlineStr">
        <is>
          <t>Pigiste</t>
        </is>
      </c>
      <c r="F107" s="36" t="inlineStr">
        <is>
          <t>yves@lany.ca</t>
        </is>
      </c>
      <c r="G107" s="36" t="inlineStr">
        <is>
          <t>514-928-3209</t>
        </is>
      </c>
      <c r="H107" s="36" t="inlineStr">
        <is>
          <t>Estrie</t>
        </is>
      </c>
      <c r="I107" s="37" t="inlineStr">
        <is>
          <t>Art de vivre; Environnement; Plein air</t>
        </is>
      </c>
      <c r="J107" s="36" t="n"/>
      <c r="K107" s="42" t="inlineStr">
        <is>
          <t>Ouvrir</t>
        </is>
      </c>
      <c r="L107" s="38" t="n"/>
      <c r="M107" s="38" t="n"/>
      <c r="N107" s="39" t="n"/>
      <c r="O107" t="inlineStr">
        <is>
          <t>F</t>
        </is>
      </c>
      <c r="P107" t="inlineStr">
        <is>
          <t>L'asclepiade contre le duvet, et ce que les tests disent vraiment</t>
        </is>
      </c>
      <c r="Q107" t="inlineStr">
        <is>
          <t>Bonjour Yves,</t>
        </is>
      </c>
      <c r="R107" t="inlineStr">
        <is>
          <t>Adresse personnelle : individualiser vraiment</t>
        </is>
      </c>
    </row>
    <row r="108" ht="15" customHeight="1" s="26">
      <c r="A108" s="43" t="inlineStr">
        <is>
          <t>B</t>
        </is>
      </c>
      <c r="B108" s="36" t="inlineStr">
        <is>
          <t>Anne Marie</t>
        </is>
      </c>
      <c r="C108" s="36" t="inlineStr">
        <is>
          <t>Lecomte</t>
        </is>
      </c>
      <c r="D108" s="37" t="inlineStr">
        <is>
          <t>Journaliste</t>
        </is>
      </c>
      <c r="E108" s="36" t="inlineStr">
        <is>
          <t>Radio-Canada (Montréal)</t>
        </is>
      </c>
      <c r="F108" s="36" t="inlineStr">
        <is>
          <t>anne-marie.lecomte@radio-canada.ca</t>
        </is>
      </c>
      <c r="G108" s="36" t="inlineStr">
        <is>
          <t>514 597-7695</t>
        </is>
      </c>
      <c r="H108" s="36" t="inlineStr">
        <is>
          <t>Montréal</t>
        </is>
      </c>
      <c r="I108" s="37" t="inlineStr">
        <is>
          <t>Consommation; Économie</t>
        </is>
      </c>
      <c r="J108" s="36" t="n"/>
      <c r="K108" s="42" t="inlineStr">
        <is>
          <t>Ouvrir</t>
        </is>
      </c>
      <c r="L108" s="38" t="n"/>
      <c r="M108" s="38" t="n"/>
      <c r="N108" s="39" t="n"/>
      <c r="O108" t="inlineStr">
        <is>
          <t>E</t>
        </is>
      </c>
      <c r="P108" t="inlineStr">
        <is>
          <t>Une PME qui a rapatrie sa production, puis en a delocalise une partie</t>
        </is>
      </c>
      <c r="Q108" t="inlineStr">
        <is>
          <t>Bonjour Anne Marie,</t>
        </is>
      </c>
    </row>
    <row r="109" ht="15" customHeight="1" s="26">
      <c r="A109" s="43" t="inlineStr">
        <is>
          <t>B</t>
        </is>
      </c>
      <c r="B109" s="36" t="inlineStr">
        <is>
          <t>Stéphanie</t>
        </is>
      </c>
      <c r="C109" s="36" t="inlineStr">
        <is>
          <t>Mac Farlane</t>
        </is>
      </c>
      <c r="D109" s="37" t="inlineStr">
        <is>
          <t>Rédactrice en chef</t>
        </is>
      </c>
      <c r="E109" s="36" t="inlineStr">
        <is>
          <t>Le Canada Français</t>
        </is>
      </c>
      <c r="F109" s="36" t="inlineStr">
        <is>
          <t>smacfarlane@canadafrancais.com</t>
        </is>
      </c>
      <c r="G109" s="36" t="inlineStr">
        <is>
          <t>450 347-0323 *2213</t>
        </is>
      </c>
      <c r="H109" s="36" t="inlineStr">
        <is>
          <t>Montérégie</t>
        </is>
      </c>
      <c r="I109" s="37" t="inlineStr">
        <is>
          <t>Consommation; Économie</t>
        </is>
      </c>
      <c r="J109" s="36" t="n"/>
      <c r="K109" s="42" t="inlineStr">
        <is>
          <t>Ouvrir</t>
        </is>
      </c>
      <c r="L109" s="38" t="n"/>
      <c r="M109" s="38" t="n"/>
      <c r="N109" s="39" t="n"/>
      <c r="O109" t="inlineStr">
        <is>
          <t>B</t>
        </is>
      </c>
      <c r="P109" t="inlineStr">
        <is>
          <t>Montérégie : Lasclay au premier episode de la 21e saison de Dragons' Den</t>
        </is>
      </c>
      <c r="Q109" t="inlineStr">
        <is>
          <t>Bonjour Stéphanie,</t>
        </is>
      </c>
    </row>
    <row r="110" ht="15" customHeight="1" s="26">
      <c r="A110" s="43" t="inlineStr">
        <is>
          <t>B</t>
        </is>
      </c>
      <c r="B110" s="36" t="inlineStr">
        <is>
          <t>Philippe</t>
        </is>
      </c>
      <c r="C110" s="36" t="inlineStr">
        <is>
          <t>Marois</t>
        </is>
      </c>
      <c r="D110" s="37" t="inlineStr">
        <is>
          <t>Journaliste - Réalisateur</t>
        </is>
      </c>
      <c r="E110" s="36" t="inlineStr">
        <is>
          <t>Radio-Canada (Radio - Montréal)</t>
        </is>
      </c>
      <c r="F110" s="36" t="inlineStr">
        <is>
          <t>phil.marois@gmail.com</t>
        </is>
      </c>
      <c r="G110" s="36" t="inlineStr">
        <is>
          <t>514-945-3600</t>
        </is>
      </c>
      <c r="H110" s="36" t="inlineStr">
        <is>
          <t>Montérégie</t>
        </is>
      </c>
      <c r="I110" s="37" t="inlineStr">
        <is>
          <t>Environnement; Sciences</t>
        </is>
      </c>
      <c r="J110" s="36" t="n"/>
      <c r="K110" s="42" t="inlineStr">
        <is>
          <t>Ouvrir</t>
        </is>
      </c>
      <c r="L110" s="38" t="n"/>
      <c r="M110" s="38" t="n"/>
      <c r="N110" s="39" t="n"/>
      <c r="O110" t="inlineStr">
        <is>
          <t>I</t>
        </is>
      </c>
      <c r="P110" t="inlineStr">
        <is>
          <t>Invite disponible : Lasclay a Dragons' Den le 17 septembre</t>
        </is>
      </c>
      <c r="Q110" t="inlineStr">
        <is>
          <t>Bonjour Philippe,</t>
        </is>
      </c>
      <c r="R110" t="inlineStr">
        <is>
          <t>Adresse personnelle : individualiser vraiment</t>
        </is>
      </c>
    </row>
    <row r="111" ht="15" customHeight="1" s="26">
      <c r="A111" s="43" t="inlineStr">
        <is>
          <t>B</t>
        </is>
      </c>
      <c r="B111" s="36" t="inlineStr">
        <is>
          <t>Gildas</t>
        </is>
      </c>
      <c r="C111" s="36" t="inlineStr">
        <is>
          <t>Meneu</t>
        </is>
      </c>
      <c r="D111" s="37" t="inlineStr">
        <is>
          <t>Journaliste à la recherche</t>
        </is>
      </c>
      <c r="E111" s="36" t="inlineStr">
        <is>
          <t>Radio-Canada (Montréal)</t>
        </is>
      </c>
      <c r="F111" s="36" t="inlineStr">
        <is>
          <t>gildas.meneu@radio-canada.ca</t>
        </is>
      </c>
      <c r="G111" s="36" t="inlineStr">
        <is>
          <t>514 597-4979</t>
        </is>
      </c>
      <c r="H111" s="36" t="inlineStr">
        <is>
          <t>Montréal</t>
        </is>
      </c>
      <c r="I111" s="37" t="inlineStr">
        <is>
          <t>Agriculture; Art de vivre; Consommation</t>
        </is>
      </c>
      <c r="J111" s="36" t="n"/>
      <c r="K111" s="42" t="inlineStr">
        <is>
          <t>Ouvrir</t>
        </is>
      </c>
      <c r="L111" s="38" t="n"/>
      <c r="M111" s="38" t="n"/>
      <c r="N111" s="39" t="n"/>
      <c r="O111" t="inlineStr">
        <is>
          <t>C</t>
        </is>
      </c>
      <c r="P111" t="inlineStr">
        <is>
          <t>L'asclepiade, huit ans apres l'effondrement de la filiere</t>
        </is>
      </c>
      <c r="Q111" t="inlineStr">
        <is>
          <t>Bonjour Gildas,</t>
        </is>
      </c>
    </row>
    <row r="112" ht="15" customHeight="1" s="26">
      <c r="A112" s="43" t="inlineStr">
        <is>
          <t>B</t>
        </is>
      </c>
      <c r="B112" s="36" t="inlineStr">
        <is>
          <t>Louis-Xavier</t>
        </is>
      </c>
      <c r="C112" s="36" t="inlineStr">
        <is>
          <t>Michaud</t>
        </is>
      </c>
      <c r="D112" s="37" t="inlineStr">
        <is>
          <t>Journaliste au pupitre</t>
        </is>
      </c>
      <c r="E112" s="36" t="inlineStr">
        <is>
          <t>TopoLocal</t>
        </is>
      </c>
      <c r="F112" s="36" t="inlineStr">
        <is>
          <t>lxm@topolocal.ca</t>
        </is>
      </c>
      <c r="G112" s="36" t="inlineStr">
        <is>
          <t>514 285-7000</t>
        </is>
      </c>
      <c r="H112" s="36" t="inlineStr">
        <is>
          <t>Laurentides</t>
        </is>
      </c>
      <c r="I112" s="37" t="inlineStr">
        <is>
          <t>Environnement; Sciences</t>
        </is>
      </c>
      <c r="J112" s="36" t="n"/>
      <c r="K112" s="42" t="inlineStr">
        <is>
          <t>Ouvrir</t>
        </is>
      </c>
      <c r="L112" s="38" t="n"/>
      <c r="M112" s="38" t="n"/>
      <c r="N112" s="39" t="n"/>
      <c r="O112" t="inlineStr">
        <is>
          <t>B</t>
        </is>
      </c>
      <c r="P112" t="inlineStr">
        <is>
          <t>Laurentides : Lasclay au premier episode de la 21e saison de Dragons' Den</t>
        </is>
      </c>
      <c r="Q112" t="inlineStr">
        <is>
          <t>Bonjour Louis-Xavier,</t>
        </is>
      </c>
    </row>
    <row r="113" ht="15" customHeight="1" s="26">
      <c r="A113" s="43" t="inlineStr">
        <is>
          <t>B</t>
        </is>
      </c>
      <c r="B113" s="36" t="inlineStr">
        <is>
          <t>Anne</t>
        </is>
      </c>
      <c r="C113" s="36" t="inlineStr">
        <is>
          <t>Montplaisir</t>
        </is>
      </c>
      <c r="D113" s="37" t="inlineStr">
        <is>
          <t>Journaliste et édimestre</t>
        </is>
      </c>
      <c r="E113" s="36" t="inlineStr">
        <is>
          <t>Pigiste</t>
        </is>
      </c>
      <c r="F113" s="36" t="inlineStr">
        <is>
          <t>anne.montplaisir@radio-canada.ca</t>
        </is>
      </c>
      <c r="G113" s="36" t="n"/>
      <c r="H113" s="36" t="inlineStr">
        <is>
          <t>Montréal</t>
        </is>
      </c>
      <c r="I113" s="37" t="inlineStr">
        <is>
          <t>Environnement; Plein air</t>
        </is>
      </c>
      <c r="J113" s="36" t="n"/>
      <c r="K113" s="42" t="inlineStr">
        <is>
          <t>Ouvrir</t>
        </is>
      </c>
      <c r="L113" s="38" t="n"/>
      <c r="M113" s="38" t="n"/>
      <c r="N113" s="39" t="n"/>
      <c r="O113" t="inlineStr">
        <is>
          <t>F</t>
        </is>
      </c>
      <c r="P113" t="inlineStr">
        <is>
          <t>L'asclepiade contre le duvet, et ce que les tests disent vraiment</t>
        </is>
      </c>
      <c r="Q113" t="inlineStr">
        <is>
          <t>Bonjour Anne,</t>
        </is>
      </c>
      <c r="R113" t="inlineStr">
        <is>
          <t>Adresse personnelle : individualiser vraiment</t>
        </is>
      </c>
    </row>
    <row r="114" ht="15" customHeight="1" s="26">
      <c r="A114" s="43" t="inlineStr">
        <is>
          <t>B</t>
        </is>
      </c>
      <c r="B114" s="36" t="inlineStr">
        <is>
          <t>Karianne</t>
        </is>
      </c>
      <c r="C114" s="36" t="inlineStr">
        <is>
          <t>Nepton-Philippe</t>
        </is>
      </c>
      <c r="D114" s="37" t="inlineStr">
        <is>
          <t>Journaliste</t>
        </is>
      </c>
      <c r="E114" s="36" t="inlineStr">
        <is>
          <t>Journal Le Manic</t>
        </is>
      </c>
      <c r="F114" s="36" t="inlineStr">
        <is>
          <t>knphilippe@lemanic.ca</t>
        </is>
      </c>
      <c r="G114" s="36" t="inlineStr">
        <is>
          <t>4182827049</t>
        </is>
      </c>
      <c r="H114" s="36" t="inlineStr">
        <is>
          <t>Est-du-Québec</t>
        </is>
      </c>
      <c r="I114" s="37" t="inlineStr">
        <is>
          <t>Environnement; Économie</t>
        </is>
      </c>
      <c r="J114" s="36" t="n"/>
      <c r="K114" s="42" t="inlineStr">
        <is>
          <t>Ouvrir</t>
        </is>
      </c>
      <c r="L114" s="38" t="n"/>
      <c r="M114" s="38" t="n"/>
      <c r="N114" s="39" t="n"/>
      <c r="O114" t="inlineStr">
        <is>
          <t>B</t>
        </is>
      </c>
      <c r="P114" t="inlineStr">
        <is>
          <t>Est-du-Québec : Lasclay au premier episode de la 21e saison de Dragons' Den</t>
        </is>
      </c>
      <c r="Q114" t="inlineStr">
        <is>
          <t>Bonjour Karianne,</t>
        </is>
      </c>
    </row>
    <row r="115" ht="15" customHeight="1" s="26">
      <c r="A115" s="43" t="inlineStr">
        <is>
          <t>B</t>
        </is>
      </c>
      <c r="B115" s="36" t="inlineStr">
        <is>
          <t>Geneviève</t>
        </is>
      </c>
      <c r="C115" s="36" t="inlineStr">
        <is>
          <t>Normand</t>
        </is>
      </c>
      <c r="D115" s="37" t="inlineStr">
        <is>
          <t>Journaliste</t>
        </is>
      </c>
      <c r="E115" s="36" t="inlineStr">
        <is>
          <t>Agence France Presse</t>
        </is>
      </c>
      <c r="F115" s="36" t="inlineStr">
        <is>
          <t>genevieve.normand@afp.com</t>
        </is>
      </c>
      <c r="G115" s="36" t="inlineStr">
        <is>
          <t>5149788562</t>
        </is>
      </c>
      <c r="H115" s="36" t="inlineStr">
        <is>
          <t>Montérégie</t>
        </is>
      </c>
      <c r="I115" s="37" t="inlineStr">
        <is>
          <t>Environnement; Économie</t>
        </is>
      </c>
      <c r="J115" s="36" t="n"/>
      <c r="K115" s="42" t="inlineStr">
        <is>
          <t>Ouvrir</t>
        </is>
      </c>
      <c r="L115" s="38" t="n"/>
      <c r="M115" s="38" t="n"/>
      <c r="N115" s="39" t="n"/>
      <c r="O115" t="inlineStr">
        <is>
          <t>B</t>
        </is>
      </c>
      <c r="P115" t="inlineStr">
        <is>
          <t>Montérégie : Lasclay au premier episode de la 21e saison de Dragons' Den</t>
        </is>
      </c>
      <c r="Q115" t="inlineStr">
        <is>
          <t>Bonjour Geneviève,</t>
        </is>
      </c>
    </row>
    <row r="116" ht="15" customHeight="1" s="26">
      <c r="A116" s="43" t="inlineStr">
        <is>
          <t>B</t>
        </is>
      </c>
      <c r="B116" s="36" t="inlineStr">
        <is>
          <t>Carole</t>
        </is>
      </c>
      <c r="C116" s="36" t="inlineStr">
        <is>
          <t>Payer</t>
        </is>
      </c>
      <c r="D116" s="37" t="inlineStr">
        <is>
          <t>journaliste, chroniqueure, redactrice, recherchiste</t>
        </is>
      </c>
      <c r="E116" s="36" t="inlineStr">
        <is>
          <t>Pigiste</t>
        </is>
      </c>
      <c r="F116" s="36" t="inlineStr">
        <is>
          <t>universcp@gmail.com</t>
        </is>
      </c>
      <c r="G116" s="36" t="inlineStr">
        <is>
          <t>4186638589</t>
        </is>
      </c>
      <c r="H116" s="36" t="inlineStr">
        <is>
          <t>Centre-du-Québec</t>
        </is>
      </c>
      <c r="I116" s="37" t="inlineStr">
        <is>
          <t>Art de vivre; Consommation; Sciences</t>
        </is>
      </c>
      <c r="J116" s="36" t="n"/>
      <c r="K116" s="42" t="inlineStr">
        <is>
          <t>Ouvrir</t>
        </is>
      </c>
      <c r="L116" s="38" t="n"/>
      <c r="M116" s="38" t="n"/>
      <c r="N116" s="39" t="n"/>
      <c r="O116" t="inlineStr">
        <is>
          <t>I</t>
        </is>
      </c>
      <c r="P116" t="inlineStr">
        <is>
          <t>Invite disponible : Lasclay a Dragons' Den le 17 septembre</t>
        </is>
      </c>
      <c r="Q116" t="inlineStr">
        <is>
          <t>Bonjour Carole,</t>
        </is>
      </c>
      <c r="R116" t="inlineStr">
        <is>
          <t>Adresse personnelle : individualiser vraiment</t>
        </is>
      </c>
    </row>
    <row r="117" ht="15" customHeight="1" s="26">
      <c r="A117" s="43" t="inlineStr">
        <is>
          <t>B</t>
        </is>
      </c>
      <c r="B117" s="36" t="inlineStr">
        <is>
          <t>Boris</t>
        </is>
      </c>
      <c r="C117" s="36" t="inlineStr">
        <is>
          <t>Proulx</t>
        </is>
      </c>
      <c r="D117" s="37" t="inlineStr">
        <is>
          <t>Correspondant parlementaire à Ottawa</t>
        </is>
      </c>
      <c r="E117" s="36" t="inlineStr">
        <is>
          <t>Le Devoir</t>
        </is>
      </c>
      <c r="F117" s="36" t="inlineStr">
        <is>
          <t>bproulx@ledevoir.com</t>
        </is>
      </c>
      <c r="G117" s="36" t="inlineStr">
        <is>
          <t>514 985-3416</t>
        </is>
      </c>
      <c r="H117" s="36" t="inlineStr">
        <is>
          <t>Ontario</t>
        </is>
      </c>
      <c r="I117" s="37" t="inlineStr">
        <is>
          <t>Environnement; Économie</t>
        </is>
      </c>
      <c r="J117" s="36" t="n"/>
      <c r="K117" s="42" t="inlineStr">
        <is>
          <t>Ouvrir</t>
        </is>
      </c>
      <c r="L117" s="38" t="n"/>
      <c r="M117" s="38" t="n"/>
      <c r="N117" s="39" t="n"/>
      <c r="O117" t="inlineStr">
        <is>
          <t>D</t>
        </is>
      </c>
      <c r="P117" t="inlineStr">
        <is>
          <t>Le monarque, l'asclepiade, et l'idee qu'il faut la rendre payante</t>
        </is>
      </c>
      <c r="Q117" t="inlineStr">
        <is>
          <t>Bonjour Boris,</t>
        </is>
      </c>
    </row>
    <row r="118" ht="15" customHeight="1" s="26">
      <c r="A118" s="43" t="inlineStr">
        <is>
          <t>B</t>
        </is>
      </c>
      <c r="B118" s="36" t="inlineStr">
        <is>
          <t>Philippe</t>
        </is>
      </c>
      <c r="C118" s="36" t="inlineStr">
        <is>
          <t>Robitaille-Grou</t>
        </is>
      </c>
      <c r="D118" s="37" t="inlineStr">
        <is>
          <t>Journaliste</t>
        </is>
      </c>
      <c r="E118" s="36" t="inlineStr">
        <is>
          <t>Radio-Canada</t>
        </is>
      </c>
      <c r="F118" s="36" t="inlineStr">
        <is>
          <t>philippe.robitaille-grou@radio-canada.ca</t>
        </is>
      </c>
      <c r="G118" s="36" t="n"/>
      <c r="H118" s="36" t="inlineStr">
        <is>
          <t>Montréal</t>
        </is>
      </c>
      <c r="I118" s="37" t="inlineStr">
        <is>
          <t>Environnement; Sciences</t>
        </is>
      </c>
      <c r="J118" s="36" t="n"/>
      <c r="K118" s="42" t="inlineStr">
        <is>
          <t>Ouvrir</t>
        </is>
      </c>
      <c r="L118" s="38" t="n"/>
      <c r="M118" s="38" t="n"/>
      <c r="N118" s="39" t="n"/>
      <c r="O118" t="inlineStr">
        <is>
          <t>D</t>
        </is>
      </c>
      <c r="P118" t="inlineStr">
        <is>
          <t>Le monarque, l'asclepiade, et l'idee qu'il faut la rendre payante</t>
        </is>
      </c>
      <c r="Q118" t="inlineStr">
        <is>
          <t>Bonjour Philippe,</t>
        </is>
      </c>
    </row>
    <row r="119" ht="15" customHeight="1" s="26">
      <c r="A119" s="43" t="inlineStr">
        <is>
          <t>B</t>
        </is>
      </c>
      <c r="B119" s="36" t="inlineStr">
        <is>
          <t>Gwen</t>
        </is>
      </c>
      <c r="C119" s="36" t="inlineStr">
        <is>
          <t>Roley</t>
        </is>
      </c>
      <c r="D119" s="37" t="inlineStr">
        <is>
          <t>Journaliste</t>
        </is>
      </c>
      <c r="E119" s="36" t="inlineStr">
        <is>
          <t>Agence France Presse</t>
        </is>
      </c>
      <c r="F119" s="36" t="inlineStr">
        <is>
          <t>gwen.roley@afp.com</t>
        </is>
      </c>
      <c r="G119" s="36" t="n"/>
      <c r="H119" s="36" t="inlineStr">
        <is>
          <t>Montréal</t>
        </is>
      </c>
      <c r="I119" s="37" t="inlineStr">
        <is>
          <t>Environnement; Sciences</t>
        </is>
      </c>
      <c r="J119" s="36" t="n"/>
      <c r="K119" s="42" t="inlineStr">
        <is>
          <t>Ouvrir</t>
        </is>
      </c>
      <c r="L119" s="38" t="n"/>
      <c r="M119" s="38" t="n"/>
      <c r="N119" s="39" t="n"/>
      <c r="O119" t="inlineStr">
        <is>
          <t>D</t>
        </is>
      </c>
      <c r="P119" t="inlineStr">
        <is>
          <t>Le monarque, l'asclepiade, et l'idee qu'il faut la rendre payante</t>
        </is>
      </c>
      <c r="Q119" t="inlineStr">
        <is>
          <t>Bonjour Gwen,</t>
        </is>
      </c>
    </row>
    <row r="120" ht="15" customHeight="1" s="26">
      <c r="A120" s="43" t="inlineStr">
        <is>
          <t>B</t>
        </is>
      </c>
      <c r="B120" s="36" t="inlineStr">
        <is>
          <t>Mathieu-Robert</t>
        </is>
      </c>
      <c r="C120" s="36" t="inlineStr">
        <is>
          <t>Sauvé</t>
        </is>
      </c>
      <c r="D120" s="37" t="inlineStr">
        <is>
          <t>Journaliste</t>
        </is>
      </c>
      <c r="E120" s="36" t="inlineStr">
        <is>
          <t>Le Journal de Montréal</t>
        </is>
      </c>
      <c r="F120" s="36" t="inlineStr">
        <is>
          <t>mathieu-robert.sauve@umontreal.ca</t>
        </is>
      </c>
      <c r="G120" s="36" t="n"/>
      <c r="H120" s="36" t="inlineStr">
        <is>
          <t>Montréal</t>
        </is>
      </c>
      <c r="I120" s="37" t="inlineStr">
        <is>
          <t>Environnement; Sciences</t>
        </is>
      </c>
      <c r="J120" s="36" t="n"/>
      <c r="K120" s="42" t="inlineStr">
        <is>
          <t>Ouvrir</t>
        </is>
      </c>
      <c r="L120" s="38" t="n"/>
      <c r="M120" s="38" t="n"/>
      <c r="N120" s="39" t="n"/>
      <c r="O120" t="inlineStr">
        <is>
          <t>D</t>
        </is>
      </c>
      <c r="P120" t="inlineStr">
        <is>
          <t>Le monarque, l'asclepiade, et l'idee qu'il faut la rendre payante</t>
        </is>
      </c>
      <c r="Q120" t="inlineStr">
        <is>
          <t>Bonjour Mathieu-Robert,</t>
        </is>
      </c>
    </row>
    <row r="121" ht="15" customHeight="1" s="26">
      <c r="A121" s="43" t="inlineStr">
        <is>
          <t>B</t>
        </is>
      </c>
      <c r="B121" s="36" t="inlineStr">
        <is>
          <t>Pierre</t>
        </is>
      </c>
      <c r="C121" s="36" t="inlineStr">
        <is>
          <t>St-Arnaud</t>
        </is>
      </c>
      <c r="D121" s="37" t="inlineStr">
        <is>
          <t>Reporter</t>
        </is>
      </c>
      <c r="E121" s="36" t="inlineStr">
        <is>
          <t>La Presse Canadienne</t>
        </is>
      </c>
      <c r="F121" s="36" t="inlineStr">
        <is>
          <t>pierre.st-arnaud@lapressecanadienne.com</t>
        </is>
      </c>
      <c r="G121" s="36" t="n"/>
      <c r="H121" s="36" t="inlineStr">
        <is>
          <t>Montréal</t>
        </is>
      </c>
      <c r="I121" s="37" t="inlineStr">
        <is>
          <t>Agriculture; Environnement</t>
        </is>
      </c>
      <c r="J121" s="36" t="n"/>
      <c r="K121" s="42" t="inlineStr">
        <is>
          <t>Ouvrir</t>
        </is>
      </c>
      <c r="L121" s="38" t="n"/>
      <c r="M121" s="38" t="n"/>
      <c r="N121" s="39" t="n"/>
      <c r="O121" t="inlineStr">
        <is>
          <t>C</t>
        </is>
      </c>
      <c r="P121" t="inlineStr">
        <is>
          <t>L'asclepiade, huit ans apres l'effondrement de la filiere</t>
        </is>
      </c>
      <c r="Q121" t="inlineStr">
        <is>
          <t>Bonjour Pierre,</t>
        </is>
      </c>
    </row>
    <row r="122" ht="15" customHeight="1" s="26">
      <c r="A122" s="43" t="inlineStr">
        <is>
          <t>B</t>
        </is>
      </c>
      <c r="B122" s="36" t="inlineStr">
        <is>
          <t>Katherine</t>
        </is>
      </c>
      <c r="C122" s="36" t="inlineStr">
        <is>
          <t>Tremblay</t>
        </is>
      </c>
      <c r="D122" s="37" t="inlineStr">
        <is>
          <t>journaliste</t>
        </is>
      </c>
      <c r="E122" s="36" t="inlineStr">
        <is>
          <t>Radio-Canada (Montréal)</t>
        </is>
      </c>
      <c r="F122" s="36" t="inlineStr">
        <is>
          <t>katherine.tremblay@radio-canada.ca</t>
        </is>
      </c>
      <c r="G122" s="36" t="n"/>
      <c r="H122" s="36" t="inlineStr">
        <is>
          <t>Montérégie</t>
        </is>
      </c>
      <c r="I122" s="37" t="inlineStr">
        <is>
          <t>Consommation; Économie</t>
        </is>
      </c>
      <c r="J122" s="36" t="n"/>
      <c r="K122" s="42" t="inlineStr">
        <is>
          <t>Ouvrir</t>
        </is>
      </c>
      <c r="L122" s="38" t="n"/>
      <c r="M122" s="38" t="n"/>
      <c r="N122" s="39" t="n"/>
      <c r="O122" t="inlineStr">
        <is>
          <t>E</t>
        </is>
      </c>
      <c r="P122" t="inlineStr">
        <is>
          <t>Une PME qui a rapatrie sa production, puis en a delocalise une partie</t>
        </is>
      </c>
      <c r="Q122" t="inlineStr">
        <is>
          <t>Bonjour Katherine,</t>
        </is>
      </c>
    </row>
    <row r="123" ht="15" customHeight="1" s="26">
      <c r="A123" s="43" t="inlineStr">
        <is>
          <t>B</t>
        </is>
      </c>
      <c r="B123" s="36" t="inlineStr">
        <is>
          <t>Michel</t>
        </is>
      </c>
      <c r="C123" s="36" t="inlineStr">
        <is>
          <t>Tremblay</t>
        </is>
      </c>
      <c r="D123" s="37" t="inlineStr">
        <is>
          <t>Photojournaliste</t>
        </is>
      </c>
      <c r="E123" s="36" t="inlineStr">
        <is>
          <t>Pigiste</t>
        </is>
      </c>
      <c r="F123" s="36" t="inlineStr">
        <is>
          <t>miczoom@gmail.com</t>
        </is>
      </c>
      <c r="G123" s="36" t="inlineStr">
        <is>
          <t>4185409506</t>
        </is>
      </c>
      <c r="H123" s="36" t="inlineStr">
        <is>
          <t>Centre-du-Québec</t>
        </is>
      </c>
      <c r="I123" s="37" t="inlineStr">
        <is>
          <t>Environnement; Plein air</t>
        </is>
      </c>
      <c r="J123" s="36" t="n"/>
      <c r="K123" s="42" t="inlineStr">
        <is>
          <t>Ouvrir</t>
        </is>
      </c>
      <c r="L123" s="38" t="n"/>
      <c r="M123" s="38" t="n"/>
      <c r="N123" s="39" t="n"/>
      <c r="O123" t="inlineStr">
        <is>
          <t>F</t>
        </is>
      </c>
      <c r="P123" t="inlineStr">
        <is>
          <t>L'asclepiade contre le duvet, et ce que les tests disent vraiment</t>
        </is>
      </c>
      <c r="Q123" t="inlineStr">
        <is>
          <t>Bonjour Michel,</t>
        </is>
      </c>
      <c r="R123" t="inlineStr">
        <is>
          <t>Adresse personnelle : individualiser vraiment</t>
        </is>
      </c>
    </row>
    <row r="124" ht="15" customHeight="1" s="26">
      <c r="A124" s="43" t="inlineStr">
        <is>
          <t>B</t>
        </is>
      </c>
      <c r="B124" s="36" t="inlineStr">
        <is>
          <t>Martin</t>
        </is>
      </c>
      <c r="C124" s="36" t="inlineStr">
        <is>
          <t>Vallières</t>
        </is>
      </c>
      <c r="D124" s="37" t="inlineStr">
        <is>
          <t>Reporter</t>
        </is>
      </c>
      <c r="E124" s="36" t="inlineStr">
        <is>
          <t>La Presse</t>
        </is>
      </c>
      <c r="F124" s="36" t="inlineStr">
        <is>
          <t>mvallier@lapresse.ca</t>
        </is>
      </c>
      <c r="G124" s="36" t="inlineStr">
        <is>
          <t>514 285-7000, #4884</t>
        </is>
      </c>
      <c r="H124" s="36" t="inlineStr">
        <is>
          <t>Montréal</t>
        </is>
      </c>
      <c r="I124" s="37" t="inlineStr">
        <is>
          <t>Consommation; Économie</t>
        </is>
      </c>
      <c r="J124" s="36" t="n"/>
      <c r="K124" s="42" t="inlineStr">
        <is>
          <t>Ouvrir</t>
        </is>
      </c>
      <c r="L124" s="38" t="n"/>
      <c r="M124" s="38" t="n"/>
      <c r="N124" s="39" t="n"/>
      <c r="O124" t="inlineStr">
        <is>
          <t>E</t>
        </is>
      </c>
      <c r="P124" t="inlineStr">
        <is>
          <t>Une PME qui a rapatrie sa production, puis en a delocalise une partie</t>
        </is>
      </c>
      <c r="Q124" t="inlineStr">
        <is>
          <t>Bonjour Martin,</t>
        </is>
      </c>
    </row>
    <row r="125" ht="15" customHeight="1" s="26">
      <c r="A125" s="43" t="inlineStr">
        <is>
          <t>B</t>
        </is>
      </c>
      <c r="B125" s="36" t="inlineStr">
        <is>
          <t>Yanick</t>
        </is>
      </c>
      <c r="C125" s="36" t="inlineStr">
        <is>
          <t>Villedieu</t>
        </is>
      </c>
      <c r="D125" s="37" t="inlineStr">
        <is>
          <t>Journaliste</t>
        </is>
      </c>
      <c r="E125" s="36" t="inlineStr">
        <is>
          <t>Radio-Canada (QC)</t>
        </is>
      </c>
      <c r="F125" s="36" t="inlineStr">
        <is>
          <t>villedieu.yanick@videotron.ca</t>
        </is>
      </c>
      <c r="G125" s="36" t="n"/>
      <c r="H125" s="36" t="inlineStr">
        <is>
          <t>Montréal</t>
        </is>
      </c>
      <c r="I125" s="37" t="inlineStr">
        <is>
          <t>Environnement; Sciences</t>
        </is>
      </c>
      <c r="J125" s="36" t="n"/>
      <c r="K125" s="42" t="inlineStr">
        <is>
          <t>Ouvrir</t>
        </is>
      </c>
      <c r="L125" s="38" t="n"/>
      <c r="M125" s="38" t="n"/>
      <c r="N125" s="39" t="n"/>
      <c r="O125" t="inlineStr">
        <is>
          <t>D</t>
        </is>
      </c>
      <c r="P125" t="inlineStr">
        <is>
          <t>Le monarque, l'asclepiade, et l'idee qu'il faut la rendre payante</t>
        </is>
      </c>
      <c r="Q125" t="inlineStr">
        <is>
          <t>Bonjour Yanick,</t>
        </is>
      </c>
      <c r="R125" t="inlineStr">
        <is>
          <t>Adresse personnelle : individualiser vraiment</t>
        </is>
      </c>
    </row>
    <row r="126" ht="15" customHeight="1" s="26">
      <c r="A126" s="43" t="inlineStr">
        <is>
          <t>C</t>
        </is>
      </c>
      <c r="B126" s="36" t="inlineStr">
        <is>
          <t>Jonathan</t>
        </is>
      </c>
      <c r="C126" s="36" t="inlineStr">
        <is>
          <t>Allard</t>
        </is>
      </c>
      <c r="D126" s="37" t="inlineStr">
        <is>
          <t>Journaliste/pupitreur</t>
        </is>
      </c>
      <c r="E126" s="36" t="inlineStr">
        <is>
          <t>Le Devoir</t>
        </is>
      </c>
      <c r="F126" s="36" t="inlineStr">
        <is>
          <t>jallard@ledevoir.com</t>
        </is>
      </c>
      <c r="G126" s="36" t="inlineStr">
        <is>
          <t>514 985-3333</t>
        </is>
      </c>
      <c r="H126" s="36" t="inlineStr">
        <is>
          <t>Montréal</t>
        </is>
      </c>
      <c r="I126" s="37" t="inlineStr">
        <is>
          <t>Sciences</t>
        </is>
      </c>
      <c r="J126" s="36" t="n"/>
      <c r="K126" s="42" t="inlineStr">
        <is>
          <t>Ouvrir</t>
        </is>
      </c>
      <c r="L126" s="38" t="n"/>
      <c r="M126" s="38" t="n"/>
      <c r="N126" s="39" t="n"/>
      <c r="O126" t="inlineStr">
        <is>
          <t>D</t>
        </is>
      </c>
      <c r="P126" t="inlineStr">
        <is>
          <t>Le monarque, l'asclepiade, et l'idee qu'il faut la rendre payante</t>
        </is>
      </c>
      <c r="Q126" t="inlineStr">
        <is>
          <t>Bonjour Jonathan,</t>
        </is>
      </c>
    </row>
    <row r="127" ht="15" customHeight="1" s="26">
      <c r="A127" s="43" t="inlineStr">
        <is>
          <t>C</t>
        </is>
      </c>
      <c r="B127" s="36" t="inlineStr">
        <is>
          <t>Anick</t>
        </is>
      </c>
      <c r="C127" s="36" t="inlineStr">
        <is>
          <t>Baribeau</t>
        </is>
      </c>
      <c r="D127" s="37" t="inlineStr">
        <is>
          <t>Journaliste scientifique</t>
        </is>
      </c>
      <c r="E127" s="36" t="inlineStr">
        <is>
          <t>Pigiste</t>
        </is>
      </c>
      <c r="F127" s="36" t="inlineStr">
        <is>
          <t>anick.baribeau.1@ulaval.ca</t>
        </is>
      </c>
      <c r="G127" s="36" t="inlineStr">
        <is>
          <t>8196901837</t>
        </is>
      </c>
      <c r="H127" s="36" t="inlineStr">
        <is>
          <t>Mauricie</t>
        </is>
      </c>
      <c r="I127" s="37" t="inlineStr">
        <is>
          <t>Sciences</t>
        </is>
      </c>
      <c r="J127" s="36" t="n"/>
      <c r="K127" s="42" t="inlineStr">
        <is>
          <t>Ouvrir</t>
        </is>
      </c>
      <c r="L127" s="38" t="n"/>
      <c r="M127" s="38" t="n"/>
      <c r="N127" s="39" t="n"/>
      <c r="O127" t="inlineStr">
        <is>
          <t>D</t>
        </is>
      </c>
      <c r="P127" t="inlineStr">
        <is>
          <t>Le monarque, l'asclepiade, et l'idee qu'il faut la rendre payante</t>
        </is>
      </c>
      <c r="Q127" t="inlineStr">
        <is>
          <t>Bonjour Anick,</t>
        </is>
      </c>
      <c r="R127" t="inlineStr">
        <is>
          <t>Adresse personnelle : individualiser vraiment</t>
        </is>
      </c>
    </row>
    <row r="128" ht="15" customHeight="1" s="26">
      <c r="A128" s="43" t="inlineStr">
        <is>
          <t>C</t>
        </is>
      </c>
      <c r="B128" s="36" t="inlineStr">
        <is>
          <t>Félix-Antoine</t>
        </is>
      </c>
      <c r="C128" s="36" t="inlineStr">
        <is>
          <t>Beauchemin</t>
        </is>
      </c>
      <c r="D128" s="37" t="inlineStr">
        <is>
          <t>rédacteur en chef</t>
        </is>
      </c>
      <c r="E128" s="36" t="inlineStr">
        <is>
          <t>Pigiste</t>
        </is>
      </c>
      <c r="F128" s="36" t="inlineStr">
        <is>
          <t>editor@theconcordian.com</t>
        </is>
      </c>
      <c r="G128" s="36" t="n"/>
      <c r="H128" s="36" t="inlineStr">
        <is>
          <t>Montérégie</t>
        </is>
      </c>
      <c r="I128" s="37" t="inlineStr">
        <is>
          <t>Économie</t>
        </is>
      </c>
      <c r="J128" s="36" t="n"/>
      <c r="K128" s="42" t="inlineStr">
        <is>
          <t>Ouvrir</t>
        </is>
      </c>
      <c r="L128" s="38" t="n"/>
      <c r="M128" s="38" t="n"/>
      <c r="N128" s="39" t="n"/>
      <c r="O128" t="inlineStr">
        <is>
          <t>E</t>
        </is>
      </c>
      <c r="P128" t="inlineStr">
        <is>
          <t>Une PME qui a rapatrie sa production, puis en a delocalise une partie</t>
        </is>
      </c>
      <c r="Q128" t="inlineStr">
        <is>
          <t>Bonjour Félix-Antoine,</t>
        </is>
      </c>
      <c r="R128" t="inlineStr">
        <is>
          <t>Adresse personnelle : individualiser vraiment</t>
        </is>
      </c>
    </row>
    <row r="129" ht="15" customHeight="1" s="26">
      <c r="A129" s="43" t="inlineStr">
        <is>
          <t>C</t>
        </is>
      </c>
      <c r="B129" s="36" t="inlineStr">
        <is>
          <t>Karim</t>
        </is>
      </c>
      <c r="C129" s="36" t="inlineStr">
        <is>
          <t>Benessaieh</t>
        </is>
      </c>
      <c r="D129" s="37" t="inlineStr">
        <is>
          <t>Reporter</t>
        </is>
      </c>
      <c r="E129" s="36" t="inlineStr">
        <is>
          <t>La Presse</t>
        </is>
      </c>
      <c r="F129" s="36" t="inlineStr">
        <is>
          <t>kbenessaieh@lapresse.ca</t>
        </is>
      </c>
      <c r="G129" s="36" t="inlineStr">
        <is>
          <t>514 285-3335</t>
        </is>
      </c>
      <c r="H129" s="36" t="inlineStr">
        <is>
          <t>Montréal</t>
        </is>
      </c>
      <c r="I129" s="37" t="inlineStr">
        <is>
          <t>Sciences</t>
        </is>
      </c>
      <c r="J129" s="36" t="n"/>
      <c r="K129" s="42" t="inlineStr">
        <is>
          <t>Ouvrir</t>
        </is>
      </c>
      <c r="L129" s="38" t="n"/>
      <c r="M129" s="38" t="n"/>
      <c r="N129" s="39" t="n"/>
      <c r="O129" t="inlineStr">
        <is>
          <t>D</t>
        </is>
      </c>
      <c r="P129" t="inlineStr">
        <is>
          <t>Le monarque, l'asclepiade, et l'idee qu'il faut la rendre payante</t>
        </is>
      </c>
      <c r="Q129" t="inlineStr">
        <is>
          <t>Bonjour Karim,</t>
        </is>
      </c>
    </row>
    <row r="130" ht="15" customHeight="1" s="26">
      <c r="A130" s="43" t="inlineStr">
        <is>
          <t>C</t>
        </is>
      </c>
      <c r="B130" s="36" t="inlineStr">
        <is>
          <t>Julia</t>
        </is>
      </c>
      <c r="C130" s="36" t="inlineStr">
        <is>
          <t>Bernier</t>
        </is>
      </c>
      <c r="D130" s="37" t="inlineStr">
        <is>
          <t>Journaliste</t>
        </is>
      </c>
      <c r="E130" s="36" t="inlineStr">
        <is>
          <t>Pigiste</t>
        </is>
      </c>
      <c r="F130" s="36" t="inlineStr">
        <is>
          <t>julia.bernier@mamh.gouv.qc.ca</t>
        </is>
      </c>
      <c r="G130" s="36" t="n"/>
      <c r="H130" s="36" t="inlineStr">
        <is>
          <t>Centre-du-Québec</t>
        </is>
      </c>
      <c r="I130" s="37" t="inlineStr">
        <is>
          <t>Art de vivre; Mode et beauté</t>
        </is>
      </c>
      <c r="J130" s="36" t="n"/>
      <c r="K130" s="42" t="inlineStr">
        <is>
          <t>Ouvrir</t>
        </is>
      </c>
      <c r="L130" s="38" t="n"/>
      <c r="M130" s="38" t="n"/>
      <c r="N130" s="39" t="n"/>
      <c r="O130" t="inlineStr">
        <is>
          <t>G</t>
        </is>
      </c>
      <c r="P130" t="inlineStr">
        <is>
          <t>Un manteau isole avec une mauvaise herbe, au premier episode de Dragons' Den</t>
        </is>
      </c>
      <c r="Q130" t="inlineStr">
        <is>
          <t>Bonjour Julia,</t>
        </is>
      </c>
      <c r="R130" t="inlineStr">
        <is>
          <t>Adresse personnelle : individualiser vraiment</t>
        </is>
      </c>
    </row>
    <row r="131" ht="15" customHeight="1" s="26">
      <c r="A131" s="43" t="inlineStr">
        <is>
          <t>C</t>
        </is>
      </c>
      <c r="B131" s="36" t="inlineStr">
        <is>
          <t>Karine</t>
        </is>
      </c>
      <c r="C131" s="36" t="inlineStr">
        <is>
          <t>Boivin Forcier</t>
        </is>
      </c>
      <c r="D131" s="37" t="inlineStr">
        <is>
          <t>Rédactrice en chef</t>
        </is>
      </c>
      <c r="E131" s="36" t="inlineStr">
        <is>
          <t>Pigiste</t>
        </is>
      </c>
      <c r="F131" s="36" t="inlineStr">
        <is>
          <t>kbforcier@informeaffaires.com</t>
        </is>
      </c>
      <c r="G131" s="36" t="inlineStr">
        <is>
          <t>418 548-7100</t>
        </is>
      </c>
      <c r="H131" s="36" t="inlineStr">
        <is>
          <t>Saguenay - Lac-Saint-Jean</t>
        </is>
      </c>
      <c r="I131" s="37" t="inlineStr">
        <is>
          <t>Économie</t>
        </is>
      </c>
      <c r="J131" s="36" t="n"/>
      <c r="K131" s="42" t="inlineStr">
        <is>
          <t>Ouvrir</t>
        </is>
      </c>
      <c r="L131" s="38" t="n"/>
      <c r="M131" s="38" t="n"/>
      <c r="N131" s="39" t="n"/>
      <c r="O131" t="inlineStr">
        <is>
          <t>E</t>
        </is>
      </c>
      <c r="P131" t="inlineStr">
        <is>
          <t>Une PME qui a rapatrie sa production, puis en a delocalise une partie</t>
        </is>
      </c>
      <c r="Q131" t="inlineStr">
        <is>
          <t>Bonjour Karine,</t>
        </is>
      </c>
      <c r="R131" t="inlineStr">
        <is>
          <t>Adresse personnelle : individualiser vraiment</t>
        </is>
      </c>
    </row>
    <row r="132" ht="15" customHeight="1" s="26">
      <c r="A132" s="43" t="inlineStr">
        <is>
          <t>C</t>
        </is>
      </c>
      <c r="B132" s="36" t="inlineStr">
        <is>
          <t>Audrey</t>
        </is>
      </c>
      <c r="C132" s="36" t="inlineStr">
        <is>
          <t>Bonaque</t>
        </is>
      </c>
      <c r="D132" s="37" t="inlineStr">
        <is>
          <t>Journaliste</t>
        </is>
      </c>
      <c r="E132" s="36" t="inlineStr">
        <is>
          <t>Noovo Info</t>
        </is>
      </c>
      <c r="F132" s="36" t="inlineStr">
        <is>
          <t>aud.bonaque@gmail.com</t>
        </is>
      </c>
      <c r="G132" s="36" t="n"/>
      <c r="H132" s="36" t="inlineStr">
        <is>
          <t>Montréal</t>
        </is>
      </c>
      <c r="I132" s="37" t="inlineStr">
        <is>
          <t>Environnement</t>
        </is>
      </c>
      <c r="J132" s="36" t="n"/>
      <c r="K132" s="42" t="inlineStr">
        <is>
          <t>Ouvrir</t>
        </is>
      </c>
      <c r="L132" s="38" t="n"/>
      <c r="M132" s="38" t="n"/>
      <c r="N132" s="39" t="n"/>
      <c r="O132" t="inlineStr">
        <is>
          <t>I</t>
        </is>
      </c>
      <c r="P132" t="inlineStr">
        <is>
          <t>Invite disponible : Lasclay a Dragons' Den le 17 septembre</t>
        </is>
      </c>
      <c r="Q132" t="inlineStr">
        <is>
          <t>Bonjour Audrey,</t>
        </is>
      </c>
      <c r="R132" t="inlineStr">
        <is>
          <t>Adresse personnelle : individualiser vraiment</t>
        </is>
      </c>
    </row>
    <row r="133" ht="15" customHeight="1" s="26">
      <c r="A133" s="43" t="inlineStr">
        <is>
          <t>C</t>
        </is>
      </c>
      <c r="B133" s="36" t="inlineStr">
        <is>
          <t>Luc</t>
        </is>
      </c>
      <c r="C133" s="36" t="inlineStr">
        <is>
          <t>Boulanger</t>
        </is>
      </c>
      <c r="D133" s="37" t="inlineStr">
        <is>
          <t>Reporter</t>
        </is>
      </c>
      <c r="E133" s="36" t="inlineStr">
        <is>
          <t>La Presse</t>
        </is>
      </c>
      <c r="F133" s="36" t="inlineStr">
        <is>
          <t>lboulanger@lapresse.ca</t>
        </is>
      </c>
      <c r="G133" s="36" t="inlineStr">
        <is>
          <t>514 285-7000 # 5041</t>
        </is>
      </c>
      <c r="H133" s="36" t="inlineStr">
        <is>
          <t>Montréal</t>
        </is>
      </c>
      <c r="I133" s="37" t="inlineStr">
        <is>
          <t>Art de vivre; Consommation</t>
        </is>
      </c>
      <c r="J133" s="36" t="n"/>
      <c r="K133" s="42" t="inlineStr">
        <is>
          <t>Ouvrir</t>
        </is>
      </c>
      <c r="L133" s="38" t="n"/>
      <c r="M133" s="38" t="n"/>
      <c r="N133" s="39" t="n"/>
      <c r="O133" t="inlineStr">
        <is>
          <t>G</t>
        </is>
      </c>
      <c r="P133" t="inlineStr">
        <is>
          <t>Un manteau isole avec une mauvaise herbe, au premier episode de Dragons' Den</t>
        </is>
      </c>
      <c r="Q133" t="inlineStr">
        <is>
          <t>Bonjour Luc,</t>
        </is>
      </c>
    </row>
    <row r="134" ht="15" customHeight="1" s="26">
      <c r="A134" s="43" t="inlineStr">
        <is>
          <t>C</t>
        </is>
      </c>
      <c r="B134" s="36" t="inlineStr">
        <is>
          <t>Mario</t>
        </is>
      </c>
      <c r="C134" s="36" t="inlineStr">
        <is>
          <t>Boulianne</t>
        </is>
      </c>
      <c r="D134" s="37" t="inlineStr">
        <is>
          <t>Coordonnateur réseau et chroniqueur culturel</t>
        </is>
      </c>
      <c r="E134" s="36" t="inlineStr">
        <is>
          <t>Le Droit</t>
        </is>
      </c>
      <c r="F134" s="36" t="inlineStr">
        <is>
          <t>mboulianne@ledroit.com</t>
        </is>
      </c>
      <c r="G134" s="36" t="inlineStr">
        <is>
          <t>613 562-7715</t>
        </is>
      </c>
      <c r="H134" s="36" t="inlineStr">
        <is>
          <t>Outaouais</t>
        </is>
      </c>
      <c r="I134" s="37" t="inlineStr">
        <is>
          <t>Art de vivre</t>
        </is>
      </c>
      <c r="J134" s="36" t="n"/>
      <c r="K134" s="42" t="inlineStr">
        <is>
          <t>Ouvrir</t>
        </is>
      </c>
      <c r="L134" s="38" t="n"/>
      <c r="M134" s="38" t="n"/>
      <c r="N134" s="39" t="n"/>
      <c r="O134" t="inlineStr">
        <is>
          <t>B</t>
        </is>
      </c>
      <c r="P134" t="inlineStr">
        <is>
          <t>Outaouais : Lasclay au premier episode de la 21e saison de Dragons' Den</t>
        </is>
      </c>
      <c r="Q134" t="inlineStr">
        <is>
          <t>Bonjour Mario,</t>
        </is>
      </c>
    </row>
    <row r="135" ht="15" customHeight="1" s="26">
      <c r="A135" s="43" t="inlineStr">
        <is>
          <t>C</t>
        </is>
      </c>
      <c r="B135" s="36" t="inlineStr">
        <is>
          <t>Bernard</t>
        </is>
      </c>
      <c r="C135" s="36" t="inlineStr">
        <is>
          <t>Brault</t>
        </is>
      </c>
      <c r="D135" s="37" t="inlineStr">
        <is>
          <t>Photographe de presse</t>
        </is>
      </c>
      <c r="E135" s="36" t="inlineStr">
        <is>
          <t>Pigiste</t>
        </is>
      </c>
      <c r="F135" s="36" t="inlineStr">
        <is>
          <t>photobro@videotron.ca</t>
        </is>
      </c>
      <c r="G135" s="36" t="inlineStr">
        <is>
          <t>514-972-6260</t>
        </is>
      </c>
      <c r="H135" s="36" t="inlineStr">
        <is>
          <t>Montérégie</t>
        </is>
      </c>
      <c r="I135" s="37" t="inlineStr">
        <is>
          <t>Plein air</t>
        </is>
      </c>
      <c r="J135" s="36" t="n"/>
      <c r="K135" s="42" t="inlineStr">
        <is>
          <t>Ouvrir</t>
        </is>
      </c>
      <c r="L135" s="38" t="n"/>
      <c r="M135" s="38" t="n"/>
      <c r="N135" s="39" t="n"/>
      <c r="O135" t="inlineStr">
        <is>
          <t>F</t>
        </is>
      </c>
      <c r="P135" t="inlineStr">
        <is>
          <t>L'asclepiade contre le duvet, et ce que les tests disent vraiment</t>
        </is>
      </c>
      <c r="Q135" t="inlineStr">
        <is>
          <t>Bonjour Bernard,</t>
        </is>
      </c>
      <c r="R135" t="inlineStr">
        <is>
          <t>Adresse personnelle : individualiser vraiment</t>
        </is>
      </c>
    </row>
    <row r="136" ht="15" customHeight="1" s="26">
      <c r="A136" s="43" t="inlineStr">
        <is>
          <t>C</t>
        </is>
      </c>
      <c r="B136" s="36" t="inlineStr">
        <is>
          <t>Pierre</t>
        </is>
      </c>
      <c r="C136" s="36" t="inlineStr">
        <is>
          <t>Brisson</t>
        </is>
      </c>
      <c r="D136" s="37" t="inlineStr">
        <is>
          <t>Chargé de cours universitaire</t>
        </is>
      </c>
      <c r="E136" s="36" t="inlineStr">
        <is>
          <t>Université de Montréal</t>
        </is>
      </c>
      <c r="F136" s="36" t="inlineStr">
        <is>
          <t>brissonp@hotmail.com</t>
        </is>
      </c>
      <c r="G136" s="36" t="inlineStr">
        <is>
          <t>514 237-4089</t>
        </is>
      </c>
      <c r="H136" s="36" t="inlineStr">
        <is>
          <t>Montréal</t>
        </is>
      </c>
      <c r="I136" s="37" t="inlineStr">
        <is>
          <t>Économie</t>
        </is>
      </c>
      <c r="J136" s="36" t="n"/>
      <c r="K136" s="42" t="inlineStr">
        <is>
          <t>Ouvrir</t>
        </is>
      </c>
      <c r="L136" s="38" t="n"/>
      <c r="M136" s="38" t="n"/>
      <c r="N136" s="39" t="n"/>
      <c r="O136" t="inlineStr">
        <is>
          <t>E</t>
        </is>
      </c>
      <c r="P136" t="inlineStr">
        <is>
          <t>Une PME qui a rapatrie sa production, puis en a delocalise une partie</t>
        </is>
      </c>
      <c r="Q136" t="inlineStr">
        <is>
          <t>Bonjour Pierre,</t>
        </is>
      </c>
      <c r="R136" t="inlineStr">
        <is>
          <t>Adresse personnelle : individualiser vraiment</t>
        </is>
      </c>
    </row>
    <row r="137" ht="15" customHeight="1" s="26">
      <c r="A137" s="43" t="inlineStr">
        <is>
          <t>C</t>
        </is>
      </c>
      <c r="B137" s="36" t="inlineStr">
        <is>
          <t>Laurence</t>
        </is>
      </c>
      <c r="C137" s="36" t="inlineStr">
        <is>
          <t>Brisson Dubreuil</t>
        </is>
      </c>
      <c r="D137" s="37" t="inlineStr">
        <is>
          <t>Journaliste vidéo</t>
        </is>
      </c>
      <c r="E137" s="36" t="inlineStr">
        <is>
          <t>Université Concordia</t>
        </is>
      </c>
      <c r="F137" s="36" t="inlineStr">
        <is>
          <t>laurence.brisson_dub@bellmedia.ca</t>
        </is>
      </c>
      <c r="G137" s="36" t="inlineStr">
        <is>
          <t>450-601-2502</t>
        </is>
      </c>
      <c r="H137" s="36" t="inlineStr">
        <is>
          <t>Montréal</t>
        </is>
      </c>
      <c r="I137" s="37" t="inlineStr">
        <is>
          <t>Environnement</t>
        </is>
      </c>
      <c r="J137" s="36" t="n"/>
      <c r="K137" s="42" t="inlineStr">
        <is>
          <t>Ouvrir</t>
        </is>
      </c>
      <c r="L137" s="38" t="n"/>
      <c r="M137" s="38" t="n"/>
      <c r="N137" s="39" t="n"/>
      <c r="O137" t="inlineStr">
        <is>
          <t>I</t>
        </is>
      </c>
      <c r="P137" t="inlineStr">
        <is>
          <t>Invite disponible : Lasclay a Dragons' Den le 17 septembre</t>
        </is>
      </c>
      <c r="Q137" t="inlineStr">
        <is>
          <t>Bonjour Laurence,</t>
        </is>
      </c>
    </row>
    <row r="138" ht="15" customHeight="1" s="26">
      <c r="A138" s="43" t="inlineStr">
        <is>
          <t>C</t>
        </is>
      </c>
      <c r="B138" s="36" t="inlineStr">
        <is>
          <t>Nathaniel</t>
        </is>
      </c>
      <c r="C138" s="36" t="inlineStr">
        <is>
          <t>Bronner</t>
        </is>
      </c>
      <c r="D138" s="37" t="inlineStr">
        <is>
          <t>Animateur, modérateur</t>
        </is>
      </c>
      <c r="E138" s="36" t="inlineStr">
        <is>
          <t>Pigiste</t>
        </is>
      </c>
      <c r="F138" s="36" t="inlineStr">
        <is>
          <t>nbronner@lesasdelinfo.com</t>
        </is>
      </c>
      <c r="G138" s="36" t="n"/>
      <c r="H138" s="36" t="inlineStr">
        <is>
          <t>Laurentides</t>
        </is>
      </c>
      <c r="I138" s="37" t="inlineStr">
        <is>
          <t>Art de vivre; Environnement</t>
        </is>
      </c>
      <c r="J138" s="36" t="n"/>
      <c r="K138" s="42" t="inlineStr">
        <is>
          <t>Ouvrir</t>
        </is>
      </c>
      <c r="L138" s="38" t="n"/>
      <c r="M138" s="38" t="n"/>
      <c r="N138" s="39" t="n"/>
      <c r="O138" t="inlineStr">
        <is>
          <t>I</t>
        </is>
      </c>
      <c r="P138" t="inlineStr">
        <is>
          <t>Invite disponible : Lasclay a Dragons' Den le 17 septembre</t>
        </is>
      </c>
      <c r="Q138" t="inlineStr">
        <is>
          <t>Bonjour Nathaniel,</t>
        </is>
      </c>
      <c r="R138" t="inlineStr">
        <is>
          <t>Adresse personnelle : individualiser vraiment</t>
        </is>
      </c>
    </row>
    <row r="139" ht="15" customHeight="1" s="26">
      <c r="A139" s="43" t="inlineStr">
        <is>
          <t>C</t>
        </is>
      </c>
      <c r="B139" s="36" t="inlineStr">
        <is>
          <t>Marie-France</t>
        </is>
      </c>
      <c r="C139" s="36" t="inlineStr">
        <is>
          <t>Bélanger</t>
        </is>
      </c>
      <c r="D139" s="37" t="inlineStr">
        <is>
          <t>Journaliste émission La facture</t>
        </is>
      </c>
      <c r="E139" s="36" t="inlineStr">
        <is>
          <t>Radio-Canada (QC)</t>
        </is>
      </c>
      <c r="F139" s="36" t="inlineStr">
        <is>
          <t>marie-france.belanger@radio-canada.ca</t>
        </is>
      </c>
      <c r="G139" s="36" t="inlineStr">
        <is>
          <t>514-258-0044</t>
        </is>
      </c>
      <c r="H139" s="36" t="inlineStr">
        <is>
          <t>Montréal</t>
        </is>
      </c>
      <c r="I139" s="37" t="inlineStr">
        <is>
          <t>Consommation</t>
        </is>
      </c>
      <c r="J139" s="36" t="n"/>
      <c r="K139" s="42" t="inlineStr">
        <is>
          <t>Ouvrir</t>
        </is>
      </c>
      <c r="L139" s="38" t="n"/>
      <c r="M139" s="38" t="n"/>
      <c r="N139" s="39" t="n"/>
      <c r="O139" t="inlineStr">
        <is>
          <t>G</t>
        </is>
      </c>
      <c r="P139" t="inlineStr">
        <is>
          <t>Un manteau isole avec une mauvaise herbe, au premier episode de Dragons' Den</t>
        </is>
      </c>
      <c r="Q139" t="inlineStr">
        <is>
          <t>Bonjour Marie-France,</t>
        </is>
      </c>
    </row>
    <row r="140" ht="15" customHeight="1" s="26">
      <c r="A140" s="43" t="inlineStr">
        <is>
          <t>C</t>
        </is>
      </c>
      <c r="B140" s="36" t="inlineStr">
        <is>
          <t>Diane</t>
        </is>
      </c>
      <c r="C140" s="36" t="inlineStr">
        <is>
          <t>Bérard</t>
        </is>
      </c>
      <c r="D140" s="37" t="inlineStr">
        <is>
          <t>Journaliste</t>
        </is>
      </c>
      <c r="E140" s="36" t="inlineStr">
        <is>
          <t>Pigiste</t>
        </is>
      </c>
      <c r="F140" s="36" t="inlineStr">
        <is>
          <t>diane_berard@hotmail.com</t>
        </is>
      </c>
      <c r="G140" s="36" t="n"/>
      <c r="H140" s="36" t="inlineStr">
        <is>
          <t>Montréal</t>
        </is>
      </c>
      <c r="I140" s="37" t="inlineStr">
        <is>
          <t>Économie</t>
        </is>
      </c>
      <c r="J140" s="36" t="n"/>
      <c r="K140" s="42" t="inlineStr">
        <is>
          <t>Ouvrir</t>
        </is>
      </c>
      <c r="L140" s="38" t="n"/>
      <c r="M140" s="38" t="n"/>
      <c r="N140" s="39" t="n"/>
      <c r="O140" t="inlineStr">
        <is>
          <t>E</t>
        </is>
      </c>
      <c r="P140" t="inlineStr">
        <is>
          <t>Une PME qui a rapatrie sa production, puis en a delocalise une partie</t>
        </is>
      </c>
      <c r="Q140" t="inlineStr">
        <is>
          <t>Bonjour Diane,</t>
        </is>
      </c>
      <c r="R140" t="inlineStr">
        <is>
          <t>Adresse personnelle : individualiser vraiment</t>
        </is>
      </c>
    </row>
    <row r="141" ht="15" customHeight="1" s="26">
      <c r="A141" s="43" t="inlineStr">
        <is>
          <t>C</t>
        </is>
      </c>
      <c r="B141" s="36" t="inlineStr">
        <is>
          <t>Julien</t>
        </is>
      </c>
      <c r="C141" s="36" t="inlineStr">
        <is>
          <t>Cayouette</t>
        </is>
      </c>
      <c r="D141" s="37" t="inlineStr">
        <is>
          <t>Rédacteur en chef</t>
        </is>
      </c>
      <c r="E141" s="36" t="inlineStr">
        <is>
          <t>Pigiste</t>
        </is>
      </c>
      <c r="F141" s="36" t="inlineStr">
        <is>
          <t>julien@francopresse.ca</t>
        </is>
      </c>
      <c r="G141" s="36" t="inlineStr">
        <is>
          <t>6132411017 #105</t>
        </is>
      </c>
      <c r="H141" s="36" t="inlineStr">
        <is>
          <t>Ontario</t>
        </is>
      </c>
      <c r="I141" s="37" t="inlineStr">
        <is>
          <t>Environnement</t>
        </is>
      </c>
      <c r="J141" s="36" t="n"/>
      <c r="K141" s="42" t="inlineStr">
        <is>
          <t>Ouvrir</t>
        </is>
      </c>
      <c r="L141" s="38" t="n"/>
      <c r="M141" s="38" t="n"/>
      <c r="N141" s="39" t="n"/>
      <c r="O141" t="inlineStr">
        <is>
          <t>D</t>
        </is>
      </c>
      <c r="P141" t="inlineStr">
        <is>
          <t>Le monarque, l'asclepiade, et l'idee qu'il faut la rendre payante</t>
        </is>
      </c>
      <c r="Q141" t="inlineStr">
        <is>
          <t>Bonjour Julien,</t>
        </is>
      </c>
      <c r="R141" t="inlineStr">
        <is>
          <t>Adresse personnelle : individualiser vraiment</t>
        </is>
      </c>
    </row>
    <row r="142" ht="15" customHeight="1" s="26">
      <c r="A142" s="43" t="inlineStr">
        <is>
          <t>C</t>
        </is>
      </c>
      <c r="B142" s="36" t="inlineStr">
        <is>
          <t>Rudy</t>
        </is>
      </c>
      <c r="C142" s="36" t="inlineStr">
        <is>
          <t>Chabannes</t>
        </is>
      </c>
      <c r="D142" s="37" t="inlineStr">
        <is>
          <t>Rédacteur en chef</t>
        </is>
      </c>
      <c r="E142" s="36" t="inlineStr">
        <is>
          <t>TFO / TVOntario</t>
        </is>
      </c>
      <c r="F142" s="36" t="inlineStr">
        <is>
          <t>rchabannes@tfo.org</t>
        </is>
      </c>
      <c r="G142" s="36" t="inlineStr">
        <is>
          <t>4164281585</t>
        </is>
      </c>
      <c r="H142" s="36" t="inlineStr">
        <is>
          <t>Ontario</t>
        </is>
      </c>
      <c r="I142" s="37" t="inlineStr">
        <is>
          <t>Économie</t>
        </is>
      </c>
      <c r="J142" s="36" t="n"/>
      <c r="K142" s="42" t="inlineStr">
        <is>
          <t>Ouvrir</t>
        </is>
      </c>
      <c r="L142" s="38" t="n"/>
      <c r="M142" s="38" t="n"/>
      <c r="N142" s="39" t="n"/>
      <c r="O142" t="inlineStr">
        <is>
          <t>I</t>
        </is>
      </c>
      <c r="P142" t="inlineStr">
        <is>
          <t>Invite disponible : Lasclay a Dragons' Den le 17 septembre</t>
        </is>
      </c>
      <c r="Q142" t="inlineStr">
        <is>
          <t>Bonjour Rudy,</t>
        </is>
      </c>
    </row>
    <row r="143" ht="15" customHeight="1" s="26">
      <c r="A143" s="43" t="inlineStr">
        <is>
          <t>C</t>
        </is>
      </c>
      <c r="B143" s="36" t="inlineStr">
        <is>
          <t>Denis-Martin</t>
        </is>
      </c>
      <c r="C143" s="36" t="inlineStr">
        <is>
          <t>Chabot</t>
        </is>
      </c>
      <c r="D143" s="37" t="inlineStr">
        <is>
          <t>Journaliste/animateur à Canal M</t>
        </is>
      </c>
      <c r="E143" s="36" t="inlineStr">
        <is>
          <t>Pigiste</t>
        </is>
      </c>
      <c r="F143" s="36" t="inlineStr">
        <is>
          <t>denismartinchabot@gmail.com</t>
        </is>
      </c>
      <c r="G143" s="36" t="inlineStr">
        <is>
          <t>1-514-946-7079</t>
        </is>
      </c>
      <c r="H143" s="36" t="inlineStr">
        <is>
          <t>Montréal</t>
        </is>
      </c>
      <c r="I143" s="37" t="inlineStr">
        <is>
          <t>Environnement</t>
        </is>
      </c>
      <c r="J143" s="36" t="n"/>
      <c r="K143" s="42" t="inlineStr">
        <is>
          <t>Ouvrir</t>
        </is>
      </c>
      <c r="L143" s="38" t="n"/>
      <c r="M143" s="38" t="n"/>
      <c r="N143" s="39" t="n"/>
      <c r="O143" t="inlineStr">
        <is>
          <t>I</t>
        </is>
      </c>
      <c r="P143" t="inlineStr">
        <is>
          <t>Invite disponible : Lasclay a Dragons' Den le 17 septembre</t>
        </is>
      </c>
      <c r="Q143" t="inlineStr">
        <is>
          <t>Bonjour Denis-Martin,</t>
        </is>
      </c>
      <c r="R143" t="inlineStr">
        <is>
          <t>Adresse personnelle : individualiser vraiment</t>
        </is>
      </c>
    </row>
    <row r="144" ht="15" customHeight="1" s="26">
      <c r="A144" s="43" t="inlineStr">
        <is>
          <t>C</t>
        </is>
      </c>
      <c r="B144" s="36" t="inlineStr">
        <is>
          <t>Loubna Majda</t>
        </is>
      </c>
      <c r="C144" s="36" t="inlineStr">
        <is>
          <t>Chourouk</t>
        </is>
      </c>
      <c r="D144" s="37" t="inlineStr">
        <is>
          <t>Animatrice Radio</t>
        </is>
      </c>
      <c r="E144" s="36" t="inlineStr">
        <is>
          <t>Pigiste</t>
        </is>
      </c>
      <c r="F144" s="36" t="inlineStr">
        <is>
          <t>loubna.majda.chourouk@gmail.com</t>
        </is>
      </c>
      <c r="G144" s="36" t="n"/>
      <c r="H144" s="36" t="inlineStr">
        <is>
          <t>Laval</t>
        </is>
      </c>
      <c r="I144" s="37" t="inlineStr">
        <is>
          <t>Art de vivre; Sciences</t>
        </is>
      </c>
      <c r="J144" s="36" t="n"/>
      <c r="K144" s="42" t="inlineStr">
        <is>
          <t>Ouvrir</t>
        </is>
      </c>
      <c r="L144" s="38" t="n"/>
      <c r="M144" s="38" t="n"/>
      <c r="N144" s="39" t="n"/>
      <c r="O144" t="inlineStr">
        <is>
          <t>I</t>
        </is>
      </c>
      <c r="P144" t="inlineStr">
        <is>
          <t>Invite disponible : Lasclay a Dragons' Den le 17 septembre</t>
        </is>
      </c>
      <c r="Q144" t="inlineStr">
        <is>
          <t>Bonjour Loubna Majda,</t>
        </is>
      </c>
      <c r="R144" t="inlineStr">
        <is>
          <t>Adresse personnelle : individualiser vraiment</t>
        </is>
      </c>
    </row>
    <row r="145" ht="15" customHeight="1" s="26">
      <c r="A145" s="43" t="inlineStr">
        <is>
          <t>C</t>
        </is>
      </c>
      <c r="B145" s="36" t="inlineStr">
        <is>
          <t>Sarah</t>
        </is>
      </c>
      <c r="C145" s="36" t="inlineStr">
        <is>
          <t>Collardey</t>
        </is>
      </c>
      <c r="D145" s="37" t="inlineStr">
        <is>
          <t>Journaliste</t>
        </is>
      </c>
      <c r="E145" s="36" t="inlineStr">
        <is>
          <t>Le Devoir</t>
        </is>
      </c>
      <c r="F145" s="36" t="inlineStr">
        <is>
          <t>sarah.collardey1@gmail.com</t>
        </is>
      </c>
      <c r="G145" s="36" t="inlineStr">
        <is>
          <t>514 240-2971</t>
        </is>
      </c>
      <c r="H145" s="36" t="inlineStr">
        <is>
          <t>Montréal</t>
        </is>
      </c>
      <c r="I145" s="37" t="inlineStr">
        <is>
          <t>Sciences</t>
        </is>
      </c>
      <c r="J145" s="36" t="n"/>
      <c r="K145" s="42" t="inlineStr">
        <is>
          <t>Ouvrir</t>
        </is>
      </c>
      <c r="L145" s="38" t="n"/>
      <c r="M145" s="38" t="n"/>
      <c r="N145" s="39" t="n"/>
      <c r="O145" t="inlineStr">
        <is>
          <t>D</t>
        </is>
      </c>
      <c r="P145" t="inlineStr">
        <is>
          <t>Le monarque, l'asclepiade, et l'idee qu'il faut la rendre payante</t>
        </is>
      </c>
      <c r="Q145" t="inlineStr">
        <is>
          <t>Bonjour Sarah,</t>
        </is>
      </c>
      <c r="R145" t="inlineStr">
        <is>
          <t>Adresse personnelle : individualiser vraiment</t>
        </is>
      </c>
    </row>
    <row r="146" ht="15" customHeight="1" s="26">
      <c r="A146" s="43" t="inlineStr">
        <is>
          <t>C</t>
        </is>
      </c>
      <c r="B146" s="36" t="inlineStr">
        <is>
          <t>Kathleen</t>
        </is>
      </c>
      <c r="C146" s="36" t="inlineStr">
        <is>
          <t>Couillard</t>
        </is>
      </c>
      <c r="D146" s="37" t="inlineStr">
        <is>
          <t>Journaliste scientifique</t>
        </is>
      </c>
      <c r="E146" s="36" t="inlineStr">
        <is>
          <t>Agence Science Presse</t>
        </is>
      </c>
      <c r="F146" s="36" t="inlineStr">
        <is>
          <t>kcouillard@gmail.com</t>
        </is>
      </c>
      <c r="G146" s="36" t="n"/>
      <c r="H146" s="36" t="inlineStr">
        <is>
          <t>Montérégie</t>
        </is>
      </c>
      <c r="I146" s="37" t="inlineStr">
        <is>
          <t>Art de vivre; Sciences</t>
        </is>
      </c>
      <c r="J146" s="36" t="n"/>
      <c r="K146" s="42" t="inlineStr">
        <is>
          <t>Ouvrir</t>
        </is>
      </c>
      <c r="L146" s="38" t="n"/>
      <c r="M146" s="38" t="n"/>
      <c r="N146" s="39" t="n"/>
      <c r="O146" t="inlineStr">
        <is>
          <t>B</t>
        </is>
      </c>
      <c r="P146" t="inlineStr">
        <is>
          <t>Montérégie : Lasclay au premier episode de la 21e saison de Dragons' Den</t>
        </is>
      </c>
      <c r="Q146" t="inlineStr">
        <is>
          <t>Bonjour Kathleen,</t>
        </is>
      </c>
      <c r="R146" t="inlineStr">
        <is>
          <t>Adresse personnelle : individualiser vraiment</t>
        </is>
      </c>
    </row>
    <row r="147" ht="15" customHeight="1" s="26">
      <c r="A147" s="43" t="inlineStr">
        <is>
          <t>C</t>
        </is>
      </c>
      <c r="B147" s="36" t="inlineStr">
        <is>
          <t>Oumou</t>
        </is>
      </c>
      <c r="C147" s="36" t="inlineStr">
        <is>
          <t>DIAKITÉ</t>
        </is>
      </c>
      <c r="D147" s="37" t="inlineStr">
        <is>
          <t>Journaliste</t>
        </is>
      </c>
      <c r="E147" s="36" t="inlineStr">
        <is>
          <t>Pigiste</t>
        </is>
      </c>
      <c r="F147" s="36" t="inlineStr">
        <is>
          <t>oumoudiakitepro@gmail.com</t>
        </is>
      </c>
      <c r="G147" s="36" t="inlineStr">
        <is>
          <t>(514) 256-9000</t>
        </is>
      </c>
      <c r="H147" s="36" t="inlineStr">
        <is>
          <t>Montréal</t>
        </is>
      </c>
      <c r="I147" s="37" t="inlineStr">
        <is>
          <t>Consommation</t>
        </is>
      </c>
      <c r="J147" s="36" t="n"/>
      <c r="K147" s="42" t="inlineStr">
        <is>
          <t>Ouvrir</t>
        </is>
      </c>
      <c r="L147" s="38" t="n"/>
      <c r="M147" s="38" t="n"/>
      <c r="N147" s="39" t="n"/>
      <c r="O147" t="inlineStr">
        <is>
          <t>G</t>
        </is>
      </c>
      <c r="P147" t="inlineStr">
        <is>
          <t>Un manteau isole avec une mauvaise herbe, au premier episode de Dragons' Den</t>
        </is>
      </c>
      <c r="Q147" t="inlineStr">
        <is>
          <t>Bonjour Oumou,</t>
        </is>
      </c>
      <c r="R147" t="inlineStr">
        <is>
          <t>Adresse personnelle : individualiser vraiment</t>
        </is>
      </c>
    </row>
    <row r="148" ht="15" customHeight="1" s="26">
      <c r="A148" s="43" t="inlineStr">
        <is>
          <t>C</t>
        </is>
      </c>
      <c r="B148" s="36" t="inlineStr">
        <is>
          <t>Agnès</t>
        </is>
      </c>
      <c r="C148" s="36" t="inlineStr">
        <is>
          <t>Delavault</t>
        </is>
      </c>
      <c r="D148" s="37" t="inlineStr">
        <is>
          <t>Directrice de contenu</t>
        </is>
      </c>
      <c r="E148" s="36" t="inlineStr">
        <is>
          <t>Protégez-Vous</t>
        </is>
      </c>
      <c r="F148" s="36" t="inlineStr">
        <is>
          <t>adelavault@pv.ca</t>
        </is>
      </c>
      <c r="G148" s="36" t="inlineStr">
        <is>
          <t>5144613000 poste 117</t>
        </is>
      </c>
      <c r="H148" s="36" t="inlineStr">
        <is>
          <t>Montréal</t>
        </is>
      </c>
      <c r="I148" s="37" t="inlineStr">
        <is>
          <t>Consommation</t>
        </is>
      </c>
      <c r="J148" s="36" t="n"/>
      <c r="K148" s="42" t="inlineStr">
        <is>
          <t>Ouvrir</t>
        </is>
      </c>
      <c r="L148" s="38" t="n"/>
      <c r="M148" s="38" t="n"/>
      <c r="N148" s="39" t="n"/>
      <c r="O148" t="inlineStr">
        <is>
          <t>G</t>
        </is>
      </c>
      <c r="P148" t="inlineStr">
        <is>
          <t>Un manteau isole avec une mauvaise herbe, au premier episode de Dragons' Den</t>
        </is>
      </c>
      <c r="Q148" t="inlineStr">
        <is>
          <t>Bonjour Agnès,</t>
        </is>
      </c>
    </row>
    <row r="149" ht="15" customHeight="1" s="26">
      <c r="A149" s="43" t="inlineStr">
        <is>
          <t>C</t>
        </is>
      </c>
      <c r="B149" s="36" t="inlineStr">
        <is>
          <t>Marcelin</t>
        </is>
      </c>
      <c r="C149" s="36" t="inlineStr">
        <is>
          <t>Delice</t>
        </is>
      </c>
      <c r="D149" s="37" t="inlineStr">
        <is>
          <t>Chroniqueur, Photographie, Journaliste Culturel</t>
        </is>
      </c>
      <c r="E149" s="36" t="inlineStr">
        <is>
          <t>Pigiste</t>
        </is>
      </c>
      <c r="F149" s="36" t="inlineStr">
        <is>
          <t>marcelindelice@gmail.com</t>
        </is>
      </c>
      <c r="G149" s="36" t="n"/>
      <c r="H149" s="36" t="inlineStr">
        <is>
          <t>Montréal</t>
        </is>
      </c>
      <c r="I149" s="37" t="inlineStr">
        <is>
          <t>Art de vivre; Environnement</t>
        </is>
      </c>
      <c r="J149" s="36" t="n"/>
      <c r="K149" s="42" t="inlineStr">
        <is>
          <t>Ouvrir</t>
        </is>
      </c>
      <c r="L149" s="38" t="n"/>
      <c r="M149" s="38" t="n"/>
      <c r="N149" s="39" t="n"/>
      <c r="O149" t="inlineStr">
        <is>
          <t>D</t>
        </is>
      </c>
      <c r="P149" t="inlineStr">
        <is>
          <t>Le monarque, l'asclepiade, et l'idee qu'il faut la rendre payante</t>
        </is>
      </c>
      <c r="Q149" t="inlineStr">
        <is>
          <t>Bonjour Marcelin,</t>
        </is>
      </c>
      <c r="R149" t="inlineStr">
        <is>
          <t>Adresse personnelle : individualiser vraiment</t>
        </is>
      </c>
    </row>
    <row r="150" ht="15" customHeight="1" s="26">
      <c r="A150" s="43" t="inlineStr">
        <is>
          <t>C</t>
        </is>
      </c>
      <c r="B150" s="36" t="inlineStr">
        <is>
          <t>Alain</t>
        </is>
      </c>
      <c r="C150" s="36" t="inlineStr">
        <is>
          <t>Demers</t>
        </is>
      </c>
      <c r="D150" s="37" t="inlineStr">
        <is>
          <t>Chroniqueur - reporter</t>
        </is>
      </c>
      <c r="E150" s="36" t="inlineStr">
        <is>
          <t>Pigiste</t>
        </is>
      </c>
      <c r="F150" s="36" t="inlineStr">
        <is>
          <t>alain.demers@quebecormedia.com</t>
        </is>
      </c>
      <c r="G150" s="36" t="n"/>
      <c r="H150" s="36" t="inlineStr">
        <is>
          <t>Montréal</t>
        </is>
      </c>
      <c r="I150" s="37" t="inlineStr">
        <is>
          <t>Plein air</t>
        </is>
      </c>
      <c r="J150" s="36" t="n"/>
      <c r="K150" s="42" t="inlineStr">
        <is>
          <t>Ouvrir</t>
        </is>
      </c>
      <c r="L150" s="38" t="n"/>
      <c r="M150" s="38" t="n"/>
      <c r="N150" s="39" t="n"/>
      <c r="O150" t="inlineStr">
        <is>
          <t>F</t>
        </is>
      </c>
      <c r="P150" t="inlineStr">
        <is>
          <t>L'asclepiade contre le duvet, et ce que les tests disent vraiment</t>
        </is>
      </c>
      <c r="Q150" t="inlineStr">
        <is>
          <t>Bonjour Alain,</t>
        </is>
      </c>
      <c r="R150" t="inlineStr">
        <is>
          <t>Adresse personnelle : individualiser vraiment</t>
        </is>
      </c>
    </row>
    <row r="151" ht="15" customHeight="1" s="26">
      <c r="A151" s="43" t="inlineStr">
        <is>
          <t>C</t>
        </is>
      </c>
      <c r="B151" s="36" t="inlineStr">
        <is>
          <t>Ivanoh</t>
        </is>
      </c>
      <c r="C151" s="36" t="inlineStr">
        <is>
          <t>Demers</t>
        </is>
      </c>
      <c r="D151" s="37" t="inlineStr">
        <is>
          <t>Photographe de presse</t>
        </is>
      </c>
      <c r="E151" s="36" t="inlineStr">
        <is>
          <t>Radio-Canada</t>
        </is>
      </c>
      <c r="F151" s="36" t="inlineStr">
        <is>
          <t>ivanoh.demers@radio-canada.ca</t>
        </is>
      </c>
      <c r="G151" s="36" t="inlineStr">
        <is>
          <t>5148846140</t>
        </is>
      </c>
      <c r="H151" s="36" t="inlineStr">
        <is>
          <t>Montréal</t>
        </is>
      </c>
      <c r="I151" s="37" t="inlineStr">
        <is>
          <t>Économie</t>
        </is>
      </c>
      <c r="J151" s="36" t="n"/>
      <c r="K151" s="42" t="inlineStr">
        <is>
          <t>Ouvrir</t>
        </is>
      </c>
      <c r="L151" s="38" t="n"/>
      <c r="M151" s="38" t="n"/>
      <c r="N151" s="39" t="n"/>
      <c r="O151" t="inlineStr">
        <is>
          <t>E</t>
        </is>
      </c>
      <c r="P151" t="inlineStr">
        <is>
          <t>Une PME qui a rapatrie sa production, puis en a delocalise une partie</t>
        </is>
      </c>
      <c r="Q151" t="inlineStr">
        <is>
          <t>Bonjour Ivanoh,</t>
        </is>
      </c>
    </row>
    <row r="152" ht="15" customHeight="1" s="26">
      <c r="A152" s="43" t="inlineStr">
        <is>
          <t>C</t>
        </is>
      </c>
      <c r="B152" s="36" t="inlineStr">
        <is>
          <t>Claude</t>
        </is>
      </c>
      <c r="C152" s="36" t="inlineStr">
        <is>
          <t>Deschênes</t>
        </is>
      </c>
      <c r="D152" s="37" t="inlineStr">
        <is>
          <t>Journaliste</t>
        </is>
      </c>
      <c r="E152" s="36" t="inlineStr">
        <is>
          <t>Avenues.ca</t>
        </is>
      </c>
      <c r="F152" s="36" t="inlineStr">
        <is>
          <t>claude.deschenes3@gmail.com</t>
        </is>
      </c>
      <c r="G152" s="36" t="n"/>
      <c r="H152" s="36" t="inlineStr">
        <is>
          <t>Montréal</t>
        </is>
      </c>
      <c r="I152" s="37" t="inlineStr">
        <is>
          <t>Art de vivre</t>
        </is>
      </c>
      <c r="J152" s="36" t="n"/>
      <c r="K152" s="42" t="inlineStr">
        <is>
          <t>Ouvrir</t>
        </is>
      </c>
      <c r="L152" s="38" t="n"/>
      <c r="M152" s="38" t="n"/>
      <c r="N152" s="39" t="n"/>
      <c r="O152" t="inlineStr">
        <is>
          <t>G</t>
        </is>
      </c>
      <c r="P152" t="inlineStr">
        <is>
          <t>Un manteau isole avec une mauvaise herbe, au premier episode de Dragons' Den</t>
        </is>
      </c>
      <c r="Q152" t="inlineStr">
        <is>
          <t>Bonjour Claude,</t>
        </is>
      </c>
      <c r="R152" t="inlineStr">
        <is>
          <t>Adresse personnelle : individualiser vraiment</t>
        </is>
      </c>
    </row>
    <row r="153" ht="15" customHeight="1" s="26">
      <c r="A153" s="43" t="inlineStr">
        <is>
          <t>C</t>
        </is>
      </c>
      <c r="B153" s="36" t="inlineStr">
        <is>
          <t>Thomas</t>
        </is>
      </c>
      <c r="C153" s="36" t="inlineStr">
        <is>
          <t>Deshaies</t>
        </is>
      </c>
      <c r="D153" s="37" t="inlineStr">
        <is>
          <t>Journaliste</t>
        </is>
      </c>
      <c r="E153" s="36" t="inlineStr">
        <is>
          <t>Radio-Canada (QC)</t>
        </is>
      </c>
      <c r="F153" s="36" t="inlineStr">
        <is>
          <t>thomas.deshaies@radio-canada.ca</t>
        </is>
      </c>
      <c r="G153" s="36" t="inlineStr">
        <is>
          <t>514-914-4168</t>
        </is>
      </c>
      <c r="H153" s="36" t="inlineStr">
        <is>
          <t>Estrie</t>
        </is>
      </c>
      <c r="I153" s="37" t="inlineStr">
        <is>
          <t>Environnement</t>
        </is>
      </c>
      <c r="J153" s="36" t="n"/>
      <c r="K153" s="42" t="inlineStr">
        <is>
          <t>Ouvrir</t>
        </is>
      </c>
      <c r="L153" s="38" t="n"/>
      <c r="M153" s="38" t="n"/>
      <c r="N153" s="39" t="n"/>
      <c r="O153" t="inlineStr">
        <is>
          <t>B</t>
        </is>
      </c>
      <c r="P153" t="inlineStr">
        <is>
          <t>Estrie : Lasclay au premier episode de la 21e saison de Dragons' Den</t>
        </is>
      </c>
      <c r="Q153" t="inlineStr">
        <is>
          <t>Bonjour Thomas,</t>
        </is>
      </c>
    </row>
    <row r="154" ht="23.85" customHeight="1" s="26">
      <c r="A154" s="43" t="inlineStr">
        <is>
          <t>C</t>
        </is>
      </c>
      <c r="B154" s="36" t="inlineStr">
        <is>
          <t>Claude</t>
        </is>
      </c>
      <c r="C154" s="36" t="inlineStr">
        <is>
          <t>Desjardins</t>
        </is>
      </c>
      <c r="D154" s="37" t="inlineStr">
        <is>
          <t>Fondateur Forum et webzine Québec-Politique.com 2005-2010</t>
        </is>
      </c>
      <c r="E154" s="36" t="inlineStr">
        <is>
          <t>Pigiste</t>
        </is>
      </c>
      <c r="F154" s="36" t="inlineStr">
        <is>
          <t>jardinsclaudes@gmail.com</t>
        </is>
      </c>
      <c r="G154" s="36" t="inlineStr">
        <is>
          <t>5148035270</t>
        </is>
      </c>
      <c r="H154" s="36" t="inlineStr">
        <is>
          <t>Lanaudière</t>
        </is>
      </c>
      <c r="I154" s="37" t="inlineStr">
        <is>
          <t>Économie</t>
        </is>
      </c>
      <c r="J154" s="36" t="n"/>
      <c r="K154" s="42" t="inlineStr">
        <is>
          <t>Ouvrir</t>
        </is>
      </c>
      <c r="L154" s="38" t="n"/>
      <c r="M154" s="38" t="n"/>
      <c r="N154" s="39" t="n"/>
      <c r="O154" t="inlineStr">
        <is>
          <t>E</t>
        </is>
      </c>
      <c r="P154" t="inlineStr">
        <is>
          <t>Une PME qui a rapatrie sa production, puis en a delocalise une partie</t>
        </is>
      </c>
      <c r="Q154" t="inlineStr">
        <is>
          <t>Bonjour Claude,</t>
        </is>
      </c>
      <c r="R154" t="inlineStr">
        <is>
          <t>Adresse personnelle : individualiser vraiment</t>
        </is>
      </c>
    </row>
    <row r="155" ht="15" customHeight="1" s="26">
      <c r="A155" s="43" t="inlineStr">
        <is>
          <t>C</t>
        </is>
      </c>
      <c r="B155" s="36" t="inlineStr">
        <is>
          <t>Martine</t>
        </is>
      </c>
      <c r="C155" s="36" t="inlineStr">
        <is>
          <t>Deslauriers</t>
        </is>
      </c>
      <c r="D155" s="37" t="inlineStr">
        <is>
          <t>Photographe</t>
        </is>
      </c>
      <c r="E155" s="36" t="inlineStr">
        <is>
          <t>Pigiste</t>
        </is>
      </c>
      <c r="F155" s="36" t="inlineStr">
        <is>
          <t>mdeslauriersmba@gmail.com</t>
        </is>
      </c>
      <c r="G155" s="36" t="n"/>
      <c r="H155" s="36" t="inlineStr">
        <is>
          <t>Montréal</t>
        </is>
      </c>
      <c r="I155" s="37" t="inlineStr">
        <is>
          <t>Environnement</t>
        </is>
      </c>
      <c r="J155" s="36" t="n"/>
      <c r="K155" s="42" t="inlineStr">
        <is>
          <t>Ouvrir</t>
        </is>
      </c>
      <c r="L155" s="38" t="n"/>
      <c r="M155" s="38" t="n"/>
      <c r="N155" s="39" t="n"/>
      <c r="O155" t="inlineStr">
        <is>
          <t>D</t>
        </is>
      </c>
      <c r="P155" t="inlineStr">
        <is>
          <t>Le monarque, l'asclepiade, et l'idee qu'il faut la rendre payante</t>
        </is>
      </c>
      <c r="Q155" t="inlineStr">
        <is>
          <t>Bonjour Martine,</t>
        </is>
      </c>
      <c r="R155" t="inlineStr">
        <is>
          <t>Adresse personnelle : individualiser vraiment</t>
        </is>
      </c>
    </row>
    <row r="156" ht="15" customHeight="1" s="26">
      <c r="A156" s="43" t="inlineStr">
        <is>
          <t>C</t>
        </is>
      </c>
      <c r="B156" s="36" t="inlineStr">
        <is>
          <t>Marie-Claude</t>
        </is>
      </c>
      <c r="C156" s="36" t="inlineStr">
        <is>
          <t>Di Lillo</t>
        </is>
      </c>
      <c r="D156" s="37" t="inlineStr">
        <is>
          <t>Journaliste et chroniqueuse</t>
        </is>
      </c>
      <c r="E156" s="36" t="inlineStr">
        <is>
          <t>Châtelaine</t>
        </is>
      </c>
      <c r="F156" s="36" t="inlineStr">
        <is>
          <t>mcdilillo@videotron.ca</t>
        </is>
      </c>
      <c r="G156" s="36" t="inlineStr">
        <is>
          <t>5142483136</t>
        </is>
      </c>
      <c r="H156" s="36" t="inlineStr">
        <is>
          <t>Laval</t>
        </is>
      </c>
      <c r="I156" s="37" t="inlineStr">
        <is>
          <t>Art de vivre; Consommation</t>
        </is>
      </c>
      <c r="J156" s="36" t="n"/>
      <c r="K156" s="42" t="inlineStr">
        <is>
          <t>Ouvrir</t>
        </is>
      </c>
      <c r="L156" s="38" t="n"/>
      <c r="M156" s="38" t="n"/>
      <c r="N156" s="39" t="n"/>
      <c r="O156" t="inlineStr">
        <is>
          <t>B</t>
        </is>
      </c>
      <c r="P156" t="inlineStr">
        <is>
          <t>Laval : Lasclay au premier episode de la 21e saison de Dragons' Den</t>
        </is>
      </c>
      <c r="Q156" t="inlineStr">
        <is>
          <t>Bonjour Marie-Claude,</t>
        </is>
      </c>
      <c r="R156" t="inlineStr">
        <is>
          <t>Adresse personnelle : individualiser vraiment</t>
        </is>
      </c>
    </row>
    <row r="157" ht="15" customHeight="1" s="26">
      <c r="A157" s="43" t="inlineStr">
        <is>
          <t>C</t>
        </is>
      </c>
      <c r="B157" s="36" t="inlineStr">
        <is>
          <t>Jean-René</t>
        </is>
      </c>
      <c r="C157" s="36" t="inlineStr">
        <is>
          <t>Dufort</t>
        </is>
      </c>
      <c r="D157" s="37" t="inlineStr">
        <is>
          <t>animateur, rédacteur en chef, reportage</t>
        </is>
      </c>
      <c r="E157" s="36" t="inlineStr">
        <is>
          <t>Zone3</t>
        </is>
      </c>
      <c r="F157" s="36" t="inlineStr">
        <is>
          <t>jean-rene.dufort@radio-canada.ca</t>
        </is>
      </c>
      <c r="G157" s="36" t="inlineStr">
        <is>
          <t>514 9921566</t>
        </is>
      </c>
      <c r="H157" s="36" t="inlineStr">
        <is>
          <t>Montréal</t>
        </is>
      </c>
      <c r="I157" s="37" t="inlineStr">
        <is>
          <t>Sciences</t>
        </is>
      </c>
      <c r="J157" s="36" t="n"/>
      <c r="K157" s="42" t="inlineStr">
        <is>
          <t>Ouvrir</t>
        </is>
      </c>
      <c r="L157" s="38" t="n"/>
      <c r="M157" s="38" t="n"/>
      <c r="N157" s="39" t="n"/>
      <c r="O157" t="inlineStr">
        <is>
          <t>I</t>
        </is>
      </c>
      <c r="P157" t="inlineStr">
        <is>
          <t>Invite disponible : Lasclay a Dragons' Den le 17 septembre</t>
        </is>
      </c>
      <c r="Q157" t="inlineStr">
        <is>
          <t>Bonjour Jean-René,</t>
        </is>
      </c>
    </row>
    <row r="158" ht="15" customHeight="1" s="26">
      <c r="A158" s="43" t="inlineStr">
        <is>
          <t>C</t>
        </is>
      </c>
      <c r="B158" s="36" t="inlineStr">
        <is>
          <t>Richard</t>
        </is>
      </c>
      <c r="C158" s="36" t="inlineStr">
        <is>
          <t>Dupaul</t>
        </is>
      </c>
      <c r="D158" s="37" t="inlineStr">
        <is>
          <t>Journaliste</t>
        </is>
      </c>
      <c r="E158" s="36" t="inlineStr">
        <is>
          <t>Pigiste</t>
        </is>
      </c>
      <c r="F158" s="36" t="inlineStr">
        <is>
          <t>richard.dupaul@gmail.com</t>
        </is>
      </c>
      <c r="G158" s="36" t="n"/>
      <c r="H158" s="36" t="inlineStr">
        <is>
          <t>Montréal</t>
        </is>
      </c>
      <c r="I158" s="37" t="inlineStr">
        <is>
          <t>Économie</t>
        </is>
      </c>
      <c r="J158" s="36" t="n"/>
      <c r="K158" s="42" t="inlineStr">
        <is>
          <t>Ouvrir</t>
        </is>
      </c>
      <c r="L158" s="38" t="n"/>
      <c r="M158" s="38" t="n"/>
      <c r="N158" s="39" t="n"/>
      <c r="O158" t="inlineStr">
        <is>
          <t>E</t>
        </is>
      </c>
      <c r="P158" t="inlineStr">
        <is>
          <t>Une PME qui a rapatrie sa production, puis en a delocalise une partie</t>
        </is>
      </c>
      <c r="Q158" t="inlineStr">
        <is>
          <t>Bonjour Richard,</t>
        </is>
      </c>
      <c r="R158" t="inlineStr">
        <is>
          <t>Adresse personnelle : individualiser vraiment</t>
        </is>
      </c>
    </row>
    <row r="159" ht="15" customHeight="1" s="26">
      <c r="A159" s="43" t="inlineStr">
        <is>
          <t>C</t>
        </is>
      </c>
      <c r="B159" s="36" t="inlineStr">
        <is>
          <t>Stéphanie</t>
        </is>
      </c>
      <c r="C159" s="36" t="inlineStr">
        <is>
          <t>Dupuis</t>
        </is>
      </c>
      <c r="D159" s="37" t="inlineStr">
        <is>
          <t>Journaliste</t>
        </is>
      </c>
      <c r="E159" s="36" t="inlineStr">
        <is>
          <t>Radio-Canada (Montréal)</t>
        </is>
      </c>
      <c r="F159" s="36" t="inlineStr">
        <is>
          <t>dupuis.stephanie@outlook.com</t>
        </is>
      </c>
      <c r="G159" s="36" t="inlineStr">
        <is>
          <t>5148312787</t>
        </is>
      </c>
      <c r="H159" s="36" t="inlineStr">
        <is>
          <t>Montréal</t>
        </is>
      </c>
      <c r="I159" s="37" t="inlineStr">
        <is>
          <t>Art de vivre; Consommation</t>
        </is>
      </c>
      <c r="J159" s="36" t="n"/>
      <c r="K159" s="42" t="inlineStr">
        <is>
          <t>Ouvrir</t>
        </is>
      </c>
      <c r="L159" s="38" t="n"/>
      <c r="M159" s="38" t="n"/>
      <c r="N159" s="39" t="n"/>
      <c r="O159" t="inlineStr">
        <is>
          <t>G</t>
        </is>
      </c>
      <c r="P159" t="inlineStr">
        <is>
          <t>Un manteau isole avec une mauvaise herbe, au premier episode de Dragons' Den</t>
        </is>
      </c>
      <c r="Q159" t="inlineStr">
        <is>
          <t>Bonjour Stéphanie,</t>
        </is>
      </c>
      <c r="R159" t="inlineStr">
        <is>
          <t>Adresse personnelle : individualiser vraiment</t>
        </is>
      </c>
    </row>
    <row r="160" ht="15" customHeight="1" s="26">
      <c r="A160" s="43" t="inlineStr">
        <is>
          <t>C</t>
        </is>
      </c>
      <c r="B160" s="36" t="inlineStr">
        <is>
          <t>Maxim</t>
        </is>
      </c>
      <c r="C160" s="36" t="inlineStr">
        <is>
          <t>Fauteux</t>
        </is>
      </c>
      <c r="D160" s="37" t="inlineStr">
        <is>
          <t>Journaliste en formation</t>
        </is>
      </c>
      <c r="E160" s="36" t="inlineStr">
        <is>
          <t>Pigiste</t>
        </is>
      </c>
      <c r="F160" s="36" t="inlineStr">
        <is>
          <t>2433413@etu.cegepjonquiere.ca</t>
        </is>
      </c>
      <c r="G160" s="36" t="n"/>
      <c r="H160" s="36" t="inlineStr">
        <is>
          <t>Saguenay - Lac-Saint-Jean</t>
        </is>
      </c>
      <c r="I160" s="37" t="inlineStr">
        <is>
          <t>Environnement</t>
        </is>
      </c>
      <c r="J160" s="36" t="n"/>
      <c r="K160" s="42" t="inlineStr">
        <is>
          <t>Ouvrir</t>
        </is>
      </c>
      <c r="L160" s="38" t="n"/>
      <c r="M160" s="38" t="n"/>
      <c r="N160" s="39" t="n"/>
      <c r="O160" t="inlineStr">
        <is>
          <t>D</t>
        </is>
      </c>
      <c r="P160" t="inlineStr">
        <is>
          <t>Le monarque, l'asclepiade, et l'idee qu'il faut la rendre payante</t>
        </is>
      </c>
      <c r="Q160" t="inlineStr">
        <is>
          <t>Bonjour Maxim,</t>
        </is>
      </c>
      <c r="R160" t="inlineStr">
        <is>
          <t>Adresse personnelle : individualiser vraiment</t>
        </is>
      </c>
    </row>
    <row r="161" ht="15" customHeight="1" s="26">
      <c r="A161" s="43" t="inlineStr">
        <is>
          <t>C</t>
        </is>
      </c>
      <c r="B161" s="36" t="inlineStr">
        <is>
          <t>Ronald</t>
        </is>
      </c>
      <c r="C161" s="36" t="inlineStr">
        <is>
          <t>Georges</t>
        </is>
      </c>
      <c r="D161" s="37" t="inlineStr">
        <is>
          <t>Journaliste - commentateur</t>
        </is>
      </c>
      <c r="E161" s="36" t="inlineStr">
        <is>
          <t>Radio-Canada (Radio - Montréal)</t>
        </is>
      </c>
      <c r="F161" s="36" t="inlineStr">
        <is>
          <t>ronald.georges@radio-canada.ca</t>
        </is>
      </c>
      <c r="G161" s="36" t="inlineStr">
        <is>
          <t>514 597-7989</t>
        </is>
      </c>
      <c r="H161" s="36" t="inlineStr">
        <is>
          <t>Montréal</t>
        </is>
      </c>
      <c r="I161" s="37" t="inlineStr">
        <is>
          <t>Art de vivre; Consommation</t>
        </is>
      </c>
      <c r="J161" s="36" t="n"/>
      <c r="K161" s="42" t="inlineStr">
        <is>
          <t>Ouvrir</t>
        </is>
      </c>
      <c r="L161" s="38" t="n"/>
      <c r="M161" s="38" t="n"/>
      <c r="N161" s="39" t="n"/>
      <c r="O161" t="inlineStr">
        <is>
          <t>I</t>
        </is>
      </c>
      <c r="P161" t="inlineStr">
        <is>
          <t>Invite disponible : Lasclay a Dragons' Den le 17 septembre</t>
        </is>
      </c>
      <c r="Q161" t="inlineStr">
        <is>
          <t>Bonjour Ronald,</t>
        </is>
      </c>
    </row>
    <row r="162" ht="15" customHeight="1" s="26">
      <c r="A162" s="43" t="inlineStr">
        <is>
          <t>C</t>
        </is>
      </c>
      <c r="B162" s="36" t="inlineStr">
        <is>
          <t>Stéphane</t>
        </is>
      </c>
      <c r="C162" s="36" t="inlineStr">
        <is>
          <t>Giroux</t>
        </is>
      </c>
      <c r="D162" s="37" t="inlineStr">
        <is>
          <t>Journaliste</t>
        </is>
      </c>
      <c r="E162" s="36" t="inlineStr">
        <is>
          <t>Bell Média</t>
        </is>
      </c>
      <c r="F162" s="36" t="inlineStr">
        <is>
          <t>stephane.giroux@bellmedia.ca</t>
        </is>
      </c>
      <c r="G162" s="36" t="n"/>
      <c r="H162" s="36" t="inlineStr">
        <is>
          <t>Montréal</t>
        </is>
      </c>
      <c r="I162" s="37" t="inlineStr">
        <is>
          <t>Économie</t>
        </is>
      </c>
      <c r="J162" s="36" t="n"/>
      <c r="K162" s="42" t="inlineStr">
        <is>
          <t>Ouvrir</t>
        </is>
      </c>
      <c r="L162" s="38" t="n"/>
      <c r="M162" s="38" t="n"/>
      <c r="N162" s="39" t="n"/>
      <c r="O162" t="inlineStr">
        <is>
          <t>E</t>
        </is>
      </c>
      <c r="P162" t="inlineStr">
        <is>
          <t>Une PME qui a rapatrie sa production, puis en a delocalise une partie</t>
        </is>
      </c>
      <c r="Q162" t="inlineStr">
        <is>
          <t>Bonjour Stéphane,</t>
        </is>
      </c>
    </row>
    <row r="163" ht="15" customHeight="1" s="26">
      <c r="A163" s="43" t="inlineStr">
        <is>
          <t>C</t>
        </is>
      </c>
      <c r="B163" s="36" t="inlineStr">
        <is>
          <t>Zacharie</t>
        </is>
      </c>
      <c r="C163" s="36" t="inlineStr">
        <is>
          <t>Goudreault</t>
        </is>
      </c>
      <c r="D163" s="37" t="inlineStr">
        <is>
          <t>Journaliste</t>
        </is>
      </c>
      <c r="E163" s="36" t="inlineStr">
        <is>
          <t>Le Devoir</t>
        </is>
      </c>
      <c r="F163" s="36" t="inlineStr">
        <is>
          <t>zgoudreault@ledevoir.com</t>
        </is>
      </c>
      <c r="G163" s="36" t="inlineStr">
        <is>
          <t>514 985-3333</t>
        </is>
      </c>
      <c r="H163" s="36" t="inlineStr">
        <is>
          <t>Montréal</t>
        </is>
      </c>
      <c r="I163" s="37" t="inlineStr">
        <is>
          <t>Environnement</t>
        </is>
      </c>
      <c r="J163" s="36" t="n"/>
      <c r="K163" s="42" t="inlineStr">
        <is>
          <t>Ouvrir</t>
        </is>
      </c>
      <c r="L163" s="38" t="n"/>
      <c r="M163" s="38" t="n"/>
      <c r="N163" s="39" t="n"/>
      <c r="O163" t="inlineStr">
        <is>
          <t>D</t>
        </is>
      </c>
      <c r="P163" t="inlineStr">
        <is>
          <t>Le monarque, l'asclepiade, et l'idee qu'il faut la rendre payante</t>
        </is>
      </c>
      <c r="Q163" t="inlineStr">
        <is>
          <t>Bonjour Zacharie,</t>
        </is>
      </c>
    </row>
    <row r="164" ht="15" customHeight="1" s="26">
      <c r="A164" s="43" t="inlineStr">
        <is>
          <t>C</t>
        </is>
      </c>
      <c r="B164" s="36" t="inlineStr">
        <is>
          <t>Isabelle</t>
        </is>
      </c>
      <c r="C164" s="36" t="inlineStr">
        <is>
          <t>Grégoire</t>
        </is>
      </c>
      <c r="D164" s="37" t="inlineStr">
        <is>
          <t>Journaliste</t>
        </is>
      </c>
      <c r="E164" s="36" t="inlineStr">
        <is>
          <t>Pigiste</t>
        </is>
      </c>
      <c r="F164" s="36" t="inlineStr">
        <is>
          <t>gregisa@gmail.com</t>
        </is>
      </c>
      <c r="G164" s="36" t="n"/>
      <c r="H164" s="36" t="inlineStr">
        <is>
          <t>Montréal</t>
        </is>
      </c>
      <c r="I164" s="37" t="inlineStr">
        <is>
          <t>Art de vivre</t>
        </is>
      </c>
      <c r="J164" s="36" t="n"/>
      <c r="K164" s="42" t="inlineStr">
        <is>
          <t>Ouvrir</t>
        </is>
      </c>
      <c r="L164" s="38" t="n"/>
      <c r="M164" s="38" t="n"/>
      <c r="N164" s="39" t="n"/>
      <c r="O164" t="inlineStr">
        <is>
          <t>G</t>
        </is>
      </c>
      <c r="P164" t="inlineStr">
        <is>
          <t>Un manteau isole avec une mauvaise herbe, au premier episode de Dragons' Den</t>
        </is>
      </c>
      <c r="Q164" t="inlineStr">
        <is>
          <t>Bonjour Isabelle,</t>
        </is>
      </c>
      <c r="R164" t="inlineStr">
        <is>
          <t>Adresse personnelle : individualiser vraiment</t>
        </is>
      </c>
    </row>
    <row r="165" ht="15" customHeight="1" s="26">
      <c r="A165" s="43" t="inlineStr">
        <is>
          <t>C</t>
        </is>
      </c>
      <c r="B165" s="36" t="inlineStr">
        <is>
          <t>Chantal</t>
        </is>
      </c>
      <c r="C165" s="36" t="inlineStr">
        <is>
          <t>Guy</t>
        </is>
      </c>
      <c r="D165" s="37" t="inlineStr">
        <is>
          <t>Chroniqueuse</t>
        </is>
      </c>
      <c r="E165" s="36" t="inlineStr">
        <is>
          <t>La Presse</t>
        </is>
      </c>
      <c r="F165" s="36" t="inlineStr">
        <is>
          <t>cguy@lapresse.ca</t>
        </is>
      </c>
      <c r="G165" s="36" t="inlineStr">
        <is>
          <t>514 285-7070</t>
        </is>
      </c>
      <c r="H165" s="36" t="inlineStr">
        <is>
          <t>Montréal</t>
        </is>
      </c>
      <c r="I165" s="37" t="inlineStr">
        <is>
          <t>Art de vivre</t>
        </is>
      </c>
      <c r="J165" s="36" t="n"/>
      <c r="K165" s="42" t="inlineStr">
        <is>
          <t>Ouvrir</t>
        </is>
      </c>
      <c r="L165" s="38" t="n"/>
      <c r="M165" s="38" t="n"/>
      <c r="N165" s="39" t="n"/>
      <c r="O165" t="inlineStr">
        <is>
          <t>G</t>
        </is>
      </c>
      <c r="P165" t="inlineStr">
        <is>
          <t>Un manteau isole avec une mauvaise herbe, au premier episode de Dragons' Den</t>
        </is>
      </c>
      <c r="Q165" t="inlineStr">
        <is>
          <t>Bonjour Chantal,</t>
        </is>
      </c>
    </row>
    <row r="166" ht="15" customHeight="1" s="26">
      <c r="A166" s="43" t="inlineStr">
        <is>
          <t>C</t>
        </is>
      </c>
      <c r="B166" s="36" t="inlineStr">
        <is>
          <t>Matthieu</t>
        </is>
      </c>
      <c r="C166" s="36" t="inlineStr">
        <is>
          <t>Hains</t>
        </is>
      </c>
      <c r="D166" s="37" t="inlineStr">
        <is>
          <t>Journaliste</t>
        </is>
      </c>
      <c r="E166" s="36" t="inlineStr">
        <is>
          <t>Les Affaires</t>
        </is>
      </c>
      <c r="F166" s="36" t="inlineStr">
        <is>
          <t>matthieu.hains@groupecontex.ca</t>
        </is>
      </c>
      <c r="G166" s="36" t="inlineStr">
        <is>
          <t>4383891317</t>
        </is>
      </c>
      <c r="H166" s="36" t="inlineStr">
        <is>
          <t>Montréal</t>
        </is>
      </c>
      <c r="I166" s="37" t="inlineStr">
        <is>
          <t>Économie</t>
        </is>
      </c>
      <c r="J166" s="36" t="n"/>
      <c r="K166" s="42" t="inlineStr">
        <is>
          <t>Ouvrir</t>
        </is>
      </c>
      <c r="L166" s="38" t="n"/>
      <c r="M166" s="38" t="n"/>
      <c r="N166" s="39" t="n"/>
      <c r="O166" t="inlineStr">
        <is>
          <t>E</t>
        </is>
      </c>
      <c r="P166" t="inlineStr">
        <is>
          <t>Une PME qui a rapatrie sa production, puis en a delocalise une partie</t>
        </is>
      </c>
      <c r="Q166" t="inlineStr">
        <is>
          <t>Bonjour Matthieu,</t>
        </is>
      </c>
    </row>
    <row r="167" ht="15" customHeight="1" s="26">
      <c r="A167" s="43" t="inlineStr">
        <is>
          <t>C</t>
        </is>
      </c>
      <c r="B167" s="36" t="inlineStr">
        <is>
          <t>Francis</t>
        </is>
      </c>
      <c r="C167" s="36" t="inlineStr">
        <is>
          <t>Higgins</t>
        </is>
      </c>
      <c r="D167" s="37" t="inlineStr">
        <is>
          <t>Journaliste</t>
        </is>
      </c>
      <c r="E167" s="36" t="inlineStr">
        <is>
          <t>Le Soleil</t>
        </is>
      </c>
      <c r="F167" s="36" t="inlineStr">
        <is>
          <t>fhiggins@lesoleil.com</t>
        </is>
      </c>
      <c r="G167" s="36" t="inlineStr">
        <is>
          <t>418 686-3233 poste 2409</t>
        </is>
      </c>
      <c r="H167" s="36" t="inlineStr">
        <is>
          <t>Capitale-Nationale/Chaudière-Appalaches</t>
        </is>
      </c>
      <c r="I167" s="37" t="inlineStr">
        <is>
          <t>Agriculture; Art de vivre; Consommation</t>
        </is>
      </c>
      <c r="J167" s="43" t="inlineStr">
        <is>
          <t>Oui</t>
        </is>
      </c>
      <c r="K167" s="42" t="inlineStr">
        <is>
          <t>Ouvrir</t>
        </is>
      </c>
      <c r="L167" s="38" t="n"/>
      <c r="M167" s="38" t="n"/>
      <c r="N167" s="39" t="n"/>
      <c r="O167" t="inlineStr">
        <is>
          <t>—</t>
        </is>
      </c>
      <c r="P167" t="inlineStr"/>
      <c r="Q167" t="inlineStr">
        <is>
          <t>Bonjour Francis,</t>
        </is>
      </c>
      <c r="R167" t="inlineStr">
        <is>
          <t>DOUBLON : deja traite en liste chaude, ne pas envoyer</t>
        </is>
      </c>
    </row>
    <row r="168" ht="15" customHeight="1" s="26">
      <c r="A168" s="43" t="inlineStr">
        <is>
          <t>C</t>
        </is>
      </c>
      <c r="B168" s="36" t="inlineStr">
        <is>
          <t>ANGELO</t>
        </is>
      </c>
      <c r="C168" s="36" t="inlineStr">
        <is>
          <t>JEAN-BAPTISTE</t>
        </is>
      </c>
      <c r="D168" s="37" t="inlineStr">
        <is>
          <t>JOURNALISTE , COMMENTATAIRE SPORTIF</t>
        </is>
      </c>
      <c r="E168" s="36" t="inlineStr">
        <is>
          <t>Pigiste</t>
        </is>
      </c>
      <c r="F168" s="36" t="inlineStr">
        <is>
          <t>iciangegoal@yahoo.ca</t>
        </is>
      </c>
      <c r="G168" s="36" t="inlineStr">
        <is>
          <t>5144421096</t>
        </is>
      </c>
      <c r="H168" s="36" t="inlineStr">
        <is>
          <t>Montréal</t>
        </is>
      </c>
      <c r="I168" s="37" t="inlineStr">
        <is>
          <t>Environnement</t>
        </is>
      </c>
      <c r="J168" s="36" t="n"/>
      <c r="K168" s="42" t="inlineStr">
        <is>
          <t>Ouvrir</t>
        </is>
      </c>
      <c r="L168" s="38" t="n"/>
      <c r="M168" s="38" t="n"/>
      <c r="N168" s="39" t="n"/>
      <c r="O168" t="inlineStr">
        <is>
          <t>D</t>
        </is>
      </c>
      <c r="P168" t="inlineStr">
        <is>
          <t>Le monarque, l'asclepiade, et l'idee qu'il faut la rendre payante</t>
        </is>
      </c>
      <c r="Q168" t="inlineStr">
        <is>
          <t>Bonjour ANGELO,</t>
        </is>
      </c>
      <c r="R168" t="inlineStr">
        <is>
          <t>Adresse personnelle : individualiser vraiment</t>
        </is>
      </c>
    </row>
    <row r="169" ht="15" customHeight="1" s="26">
      <c r="A169" s="43" t="inlineStr">
        <is>
          <t>C</t>
        </is>
      </c>
      <c r="B169" s="36" t="inlineStr">
        <is>
          <t>Andréanne</t>
        </is>
      </c>
      <c r="C169" s="36" t="inlineStr">
        <is>
          <t>Joly</t>
        </is>
      </c>
      <c r="D169" s="37" t="inlineStr">
        <is>
          <t>Journaliste, rédactrice</t>
        </is>
      </c>
      <c r="E169" s="36" t="inlineStr">
        <is>
          <t>Pigiste</t>
        </is>
      </c>
      <c r="F169" s="36" t="inlineStr">
        <is>
          <t>andreannejoly@gmail.com</t>
        </is>
      </c>
      <c r="G169" s="36" t="inlineStr">
        <is>
          <t>7053321359</t>
        </is>
      </c>
      <c r="H169" s="36" t="inlineStr">
        <is>
          <t>Ontario</t>
        </is>
      </c>
      <c r="I169" s="37" t="inlineStr">
        <is>
          <t>Consommation</t>
        </is>
      </c>
      <c r="J169" s="36" t="n"/>
      <c r="K169" s="42" t="inlineStr">
        <is>
          <t>Ouvrir</t>
        </is>
      </c>
      <c r="L169" s="38" t="n"/>
      <c r="M169" s="38" t="n"/>
      <c r="N169" s="39" t="n"/>
      <c r="O169" t="inlineStr">
        <is>
          <t>G</t>
        </is>
      </c>
      <c r="P169" t="inlineStr">
        <is>
          <t>Un manteau isole avec une mauvaise herbe, au premier episode de Dragons' Den</t>
        </is>
      </c>
      <c r="Q169" t="inlineStr">
        <is>
          <t>Bonjour Andréanne,</t>
        </is>
      </c>
      <c r="R169" t="inlineStr">
        <is>
          <t>Adresse personnelle : individualiser vraiment</t>
        </is>
      </c>
    </row>
    <row r="170" ht="15" customHeight="1" s="26">
      <c r="A170" s="43" t="inlineStr">
        <is>
          <t>C</t>
        </is>
      </c>
      <c r="B170" s="36" t="inlineStr">
        <is>
          <t>Hugo</t>
        </is>
      </c>
      <c r="C170" s="36" t="inlineStr">
        <is>
          <t>Joncas</t>
        </is>
      </c>
      <c r="D170" s="37" t="inlineStr">
        <is>
          <t>Reporter</t>
        </is>
      </c>
      <c r="E170" s="36" t="inlineStr">
        <is>
          <t>La Presse</t>
        </is>
      </c>
      <c r="F170" s="36" t="inlineStr">
        <is>
          <t>hjoncas@lapresse.ca</t>
        </is>
      </c>
      <c r="G170" s="36" t="inlineStr">
        <is>
          <t>438-396-5546</t>
        </is>
      </c>
      <c r="H170" s="36" t="inlineStr">
        <is>
          <t>Montréal</t>
        </is>
      </c>
      <c r="I170" s="37" t="inlineStr">
        <is>
          <t>Économie</t>
        </is>
      </c>
      <c r="J170" s="36" t="n"/>
      <c r="K170" s="42" t="inlineStr">
        <is>
          <t>Ouvrir</t>
        </is>
      </c>
      <c r="L170" s="38" t="n"/>
      <c r="M170" s="38" t="n"/>
      <c r="N170" s="39" t="n"/>
      <c r="O170" t="inlineStr">
        <is>
          <t>E</t>
        </is>
      </c>
      <c r="P170" t="inlineStr">
        <is>
          <t>Une PME qui a rapatrie sa production, puis en a delocalise une partie</t>
        </is>
      </c>
      <c r="Q170" t="inlineStr">
        <is>
          <t>Bonjour Hugo,</t>
        </is>
      </c>
    </row>
    <row r="171" ht="15" customHeight="1" s="26">
      <c r="A171" s="43" t="inlineStr">
        <is>
          <t>C</t>
        </is>
      </c>
      <c r="B171" s="36" t="inlineStr">
        <is>
          <t>Philémon</t>
        </is>
      </c>
      <c r="C171" s="36" t="inlineStr">
        <is>
          <t>La Frenière-Prémont</t>
        </is>
      </c>
      <c r="D171" s="37" t="inlineStr">
        <is>
          <t>Journaliste à la recherche et pigiste</t>
        </is>
      </c>
      <c r="E171" s="36" t="inlineStr">
        <is>
          <t>Radio-Canada (Radio - Montréal)</t>
        </is>
      </c>
      <c r="F171" s="36" t="inlineStr">
        <is>
          <t>phlemonlpp@gmail.com</t>
        </is>
      </c>
      <c r="G171" s="36" t="inlineStr">
        <is>
          <t>438-391-6723</t>
        </is>
      </c>
      <c r="H171" s="36" t="inlineStr">
        <is>
          <t>Montréal</t>
        </is>
      </c>
      <c r="I171" s="37" t="inlineStr">
        <is>
          <t>Économie</t>
        </is>
      </c>
      <c r="J171" s="36" t="n"/>
      <c r="K171" s="42" t="inlineStr">
        <is>
          <t>Ouvrir</t>
        </is>
      </c>
      <c r="L171" s="38" t="n"/>
      <c r="M171" s="38" t="n"/>
      <c r="N171" s="39" t="n"/>
      <c r="O171" t="inlineStr">
        <is>
          <t>I</t>
        </is>
      </c>
      <c r="P171" t="inlineStr">
        <is>
          <t>Invite disponible : Lasclay a Dragons' Den le 17 septembre</t>
        </is>
      </c>
      <c r="Q171" t="inlineStr">
        <is>
          <t>Bonjour Philémon,</t>
        </is>
      </c>
      <c r="R171" t="inlineStr">
        <is>
          <t>Adresse personnelle : individualiser vraiment</t>
        </is>
      </c>
    </row>
    <row r="172" ht="15" customHeight="1" s="26">
      <c r="A172" s="43" t="inlineStr">
        <is>
          <t>C</t>
        </is>
      </c>
      <c r="B172" s="36" t="inlineStr">
        <is>
          <t>Henri</t>
        </is>
      </c>
      <c r="C172" s="36" t="inlineStr">
        <is>
          <t>Laban</t>
        </is>
      </c>
      <c r="D172" s="37" t="inlineStr">
        <is>
          <t>Journaliste - Animateur</t>
        </is>
      </c>
      <c r="E172" s="36" t="inlineStr">
        <is>
          <t>Radio VM Montréal</t>
        </is>
      </c>
      <c r="F172" s="36" t="inlineStr">
        <is>
          <t>hlaban2015@gmail.com</t>
        </is>
      </c>
      <c r="G172" s="36" t="inlineStr">
        <is>
          <t>514382-3913</t>
        </is>
      </c>
      <c r="H172" s="36" t="inlineStr">
        <is>
          <t>Montréal</t>
        </is>
      </c>
      <c r="I172" s="37" t="inlineStr">
        <is>
          <t>Sciences</t>
        </is>
      </c>
      <c r="J172" s="36" t="n"/>
      <c r="K172" s="42" t="inlineStr">
        <is>
          <t>Ouvrir</t>
        </is>
      </c>
      <c r="L172" s="38" t="n"/>
      <c r="M172" s="38" t="n"/>
      <c r="N172" s="39" t="n"/>
      <c r="O172" t="inlineStr">
        <is>
          <t>I</t>
        </is>
      </c>
      <c r="P172" t="inlineStr">
        <is>
          <t>Invite disponible : Lasclay a Dragons' Den le 17 septembre</t>
        </is>
      </c>
      <c r="Q172" t="inlineStr">
        <is>
          <t>Bonjour Henri,</t>
        </is>
      </c>
      <c r="R172" t="inlineStr">
        <is>
          <t>Adresse personnelle : individualiser vraiment</t>
        </is>
      </c>
    </row>
    <row r="173" ht="15" customHeight="1" s="26">
      <c r="A173" s="43" t="inlineStr">
        <is>
          <t>C</t>
        </is>
      </c>
      <c r="B173" s="36" t="inlineStr">
        <is>
          <t>Annie</t>
        </is>
      </c>
      <c r="C173" s="36" t="inlineStr">
        <is>
          <t>Lafrance</t>
        </is>
      </c>
      <c r="D173" s="37" t="inlineStr">
        <is>
          <t>journaliste coordonnatrice section Affaires</t>
        </is>
      </c>
      <c r="E173" s="36" t="inlineStr">
        <is>
          <t>Le Soleil</t>
        </is>
      </c>
      <c r="F173" s="36" t="inlineStr">
        <is>
          <t>alafrance@lesoleil.com</t>
        </is>
      </c>
      <c r="G173" s="36" t="inlineStr">
        <is>
          <t>4188031830</t>
        </is>
      </c>
      <c r="H173" s="36" t="inlineStr">
        <is>
          <t>Capitale-Nationale/Chaudière-Appalaches</t>
        </is>
      </c>
      <c r="I173" s="37" t="inlineStr">
        <is>
          <t>Consommation; Économie</t>
        </is>
      </c>
      <c r="J173" s="43" t="inlineStr">
        <is>
          <t>Oui</t>
        </is>
      </c>
      <c r="K173" s="42" t="inlineStr">
        <is>
          <t>Ouvrir</t>
        </is>
      </c>
      <c r="L173" s="38" t="n"/>
      <c r="M173" s="38" t="n"/>
      <c r="N173" s="39" t="n"/>
      <c r="O173" t="inlineStr">
        <is>
          <t>—</t>
        </is>
      </c>
      <c r="P173" t="inlineStr"/>
      <c r="Q173" t="inlineStr">
        <is>
          <t>Bonjour Annie,</t>
        </is>
      </c>
      <c r="R173" t="inlineStr">
        <is>
          <t>DOUBLON : deja traite en liste chaude, ne pas envoyer</t>
        </is>
      </c>
    </row>
    <row r="174" ht="15" customHeight="1" s="26">
      <c r="A174" s="43" t="inlineStr">
        <is>
          <t>C</t>
        </is>
      </c>
      <c r="B174" s="36" t="inlineStr">
        <is>
          <t>Joannie</t>
        </is>
      </c>
      <c r="C174" s="36" t="inlineStr">
        <is>
          <t>Lafrenière</t>
        </is>
      </c>
      <c r="D174" s="37" t="inlineStr">
        <is>
          <t>photographe pigiste</t>
        </is>
      </c>
      <c r="E174" s="36" t="inlineStr">
        <is>
          <t>Pigiste</t>
        </is>
      </c>
      <c r="F174" s="36" t="inlineStr">
        <is>
          <t>joannie@jlafreniere.ca</t>
        </is>
      </c>
      <c r="G174" s="36" t="inlineStr">
        <is>
          <t>514-803-0604</t>
        </is>
      </c>
      <c r="H174" s="36" t="inlineStr">
        <is>
          <t>Montréal</t>
        </is>
      </c>
      <c r="I174" s="37" t="inlineStr">
        <is>
          <t>Art de vivre</t>
        </is>
      </c>
      <c r="J174" s="36" t="n"/>
      <c r="K174" s="42" t="inlineStr">
        <is>
          <t>Ouvrir</t>
        </is>
      </c>
      <c r="L174" s="38" t="n"/>
      <c r="M174" s="38" t="n"/>
      <c r="N174" s="39" t="n"/>
      <c r="O174" t="inlineStr">
        <is>
          <t>G</t>
        </is>
      </c>
      <c r="P174" t="inlineStr">
        <is>
          <t>Un manteau isole avec une mauvaise herbe, au premier episode de Dragons' Den</t>
        </is>
      </c>
      <c r="Q174" t="inlineStr">
        <is>
          <t>Bonjour Joannie,</t>
        </is>
      </c>
      <c r="R174" t="inlineStr">
        <is>
          <t>Adresse personnelle : individualiser vraiment</t>
        </is>
      </c>
    </row>
    <row r="175" ht="15" customHeight="1" s="26">
      <c r="A175" s="43" t="inlineStr">
        <is>
          <t>C</t>
        </is>
      </c>
      <c r="B175" s="36" t="inlineStr">
        <is>
          <t>Angie</t>
        </is>
      </c>
      <c r="C175" s="36" t="inlineStr">
        <is>
          <t>Landry</t>
        </is>
      </c>
      <c r="D175" s="37" t="inlineStr">
        <is>
          <t>Journaliste</t>
        </is>
      </c>
      <c r="E175" s="36" t="inlineStr">
        <is>
          <t>L'actualité</t>
        </is>
      </c>
      <c r="F175" s="36" t="inlineStr">
        <is>
          <t>angie.landry@lactualite.com</t>
        </is>
      </c>
      <c r="G175" s="36" t="n"/>
      <c r="H175" s="36" t="inlineStr">
        <is>
          <t>Montréal</t>
        </is>
      </c>
      <c r="I175" s="37" t="inlineStr">
        <is>
          <t>Environnement</t>
        </is>
      </c>
      <c r="J175" s="36" t="n"/>
      <c r="K175" s="42" t="inlineStr">
        <is>
          <t>Ouvrir</t>
        </is>
      </c>
      <c r="L175" s="38" t="n"/>
      <c r="M175" s="38" t="n"/>
      <c r="N175" s="39" t="n"/>
      <c r="O175" t="inlineStr">
        <is>
          <t>D</t>
        </is>
      </c>
      <c r="P175" t="inlineStr">
        <is>
          <t>Le monarque, l'asclepiade, et l'idee qu'il faut la rendre payante</t>
        </is>
      </c>
      <c r="Q175" t="inlineStr">
        <is>
          <t>Bonjour Angie,</t>
        </is>
      </c>
    </row>
    <row r="176" ht="15" customHeight="1" s="26">
      <c r="A176" s="43" t="inlineStr">
        <is>
          <t>C</t>
        </is>
      </c>
      <c r="B176" s="36" t="inlineStr">
        <is>
          <t>Camille</t>
        </is>
      </c>
      <c r="C176" s="36" t="inlineStr">
        <is>
          <t>Langlade</t>
        </is>
      </c>
      <c r="D176" s="37" t="inlineStr">
        <is>
          <t>Journaliste, cheffe de pupitre</t>
        </is>
      </c>
      <c r="E176" s="36" t="inlineStr">
        <is>
          <t>Pigiste</t>
        </is>
      </c>
      <c r="F176" s="36" t="inlineStr">
        <is>
          <t>camille@francopresse.ca</t>
        </is>
      </c>
      <c r="G176" s="36" t="n"/>
      <c r="H176" s="36" t="inlineStr">
        <is>
          <t>Montréal</t>
        </is>
      </c>
      <c r="I176" s="37" t="inlineStr">
        <is>
          <t>Environnement</t>
        </is>
      </c>
      <c r="J176" s="36" t="n"/>
      <c r="K176" s="42" t="inlineStr">
        <is>
          <t>Ouvrir</t>
        </is>
      </c>
      <c r="L176" s="38" t="n"/>
      <c r="M176" s="38" t="n"/>
      <c r="N176" s="39" t="n"/>
      <c r="O176" t="inlineStr">
        <is>
          <t>D</t>
        </is>
      </c>
      <c r="P176" t="inlineStr">
        <is>
          <t>Le monarque, l'asclepiade, et l'idee qu'il faut la rendre payante</t>
        </is>
      </c>
      <c r="Q176" t="inlineStr">
        <is>
          <t>Bonjour Camille,</t>
        </is>
      </c>
      <c r="R176" t="inlineStr">
        <is>
          <t>Adresse personnelle : individualiser vraiment</t>
        </is>
      </c>
    </row>
    <row r="177" ht="15" customHeight="1" s="26">
      <c r="A177" s="43" t="inlineStr">
        <is>
          <t>C</t>
        </is>
      </c>
      <c r="B177" s="36" t="inlineStr">
        <is>
          <t>Claudia</t>
        </is>
      </c>
      <c r="C177" s="36" t="inlineStr">
        <is>
          <t>Larochelle</t>
        </is>
      </c>
      <c r="D177" s="37" t="inlineStr">
        <is>
          <t>Journaliste - chroniqueuse - animatrice</t>
        </is>
      </c>
      <c r="E177" s="36" t="inlineStr">
        <is>
          <t>Radio-Canada (Montréal)</t>
        </is>
      </c>
      <c r="F177" s="36" t="inlineStr">
        <is>
          <t>clolarochelle@hotmail.com</t>
        </is>
      </c>
      <c r="G177" s="36" t="inlineStr">
        <is>
          <t>514-574-0570</t>
        </is>
      </c>
      <c r="H177" s="36" t="inlineStr">
        <is>
          <t>Montréal</t>
        </is>
      </c>
      <c r="I177" s="37" t="inlineStr">
        <is>
          <t>Art de vivre</t>
        </is>
      </c>
      <c r="J177" s="36" t="n"/>
      <c r="K177" s="42" t="inlineStr">
        <is>
          <t>Ouvrir</t>
        </is>
      </c>
      <c r="L177" s="38" t="n"/>
      <c r="M177" s="38" t="n"/>
      <c r="N177" s="39" t="n"/>
      <c r="O177" t="inlineStr">
        <is>
          <t>I</t>
        </is>
      </c>
      <c r="P177" t="inlineStr">
        <is>
          <t>Invite disponible : Lasclay a Dragons' Den le 17 septembre</t>
        </is>
      </c>
      <c r="Q177" t="inlineStr">
        <is>
          <t>Bonjour Claudia,</t>
        </is>
      </c>
      <c r="R177" t="inlineStr">
        <is>
          <t>Adresse personnelle : individualiser vraiment</t>
        </is>
      </c>
    </row>
    <row r="178" ht="15" customHeight="1" s="26">
      <c r="A178" s="43" t="inlineStr">
        <is>
          <t>C</t>
        </is>
      </c>
      <c r="B178" s="36" t="inlineStr">
        <is>
          <t>Étienne</t>
        </is>
      </c>
      <c r="C178" s="36" t="inlineStr">
        <is>
          <t>Leblanc</t>
        </is>
      </c>
      <c r="D178" s="37" t="inlineStr">
        <is>
          <t>Journaliste spécialisé en environnement</t>
        </is>
      </c>
      <c r="E178" s="36" t="inlineStr">
        <is>
          <t>Radio-Canada (Montréal)</t>
        </is>
      </c>
      <c r="F178" s="36" t="inlineStr">
        <is>
          <t>etienne.leblanc@radio-canada.ca</t>
        </is>
      </c>
      <c r="G178" s="36" t="inlineStr">
        <is>
          <t>514 597-4019</t>
        </is>
      </c>
      <c r="H178" s="36" t="inlineStr">
        <is>
          <t>Montréal</t>
        </is>
      </c>
      <c r="I178" s="37" t="inlineStr">
        <is>
          <t>Environnement</t>
        </is>
      </c>
      <c r="J178" s="36" t="n"/>
      <c r="K178" s="42" t="inlineStr">
        <is>
          <t>Ouvrir</t>
        </is>
      </c>
      <c r="L178" s="38" t="n"/>
      <c r="M178" s="38" t="n"/>
      <c r="N178" s="39" t="n"/>
      <c r="O178" t="inlineStr">
        <is>
          <t>D</t>
        </is>
      </c>
      <c r="P178" t="inlineStr">
        <is>
          <t>Le monarque, l'asclepiade, et l'idee qu'il faut la rendre payante</t>
        </is>
      </c>
      <c r="Q178" t="inlineStr">
        <is>
          <t>Bonjour Étienne,</t>
        </is>
      </c>
    </row>
    <row r="179" ht="15" customHeight="1" s="26">
      <c r="A179" s="43" t="inlineStr">
        <is>
          <t>C</t>
        </is>
      </c>
      <c r="B179" s="36" t="inlineStr">
        <is>
          <t>Louise</t>
        </is>
      </c>
      <c r="C179" s="36" t="inlineStr">
        <is>
          <t>Leduc</t>
        </is>
      </c>
      <c r="D179" s="37" t="inlineStr">
        <is>
          <t>Reporter</t>
        </is>
      </c>
      <c r="E179" s="36" t="inlineStr">
        <is>
          <t>La Presse</t>
        </is>
      </c>
      <c r="F179" s="36" t="inlineStr">
        <is>
          <t>lleduc@lapresse.ca</t>
        </is>
      </c>
      <c r="G179" s="36" t="inlineStr">
        <is>
          <t>514-973-0748</t>
        </is>
      </c>
      <c r="H179" s="36" t="inlineStr">
        <is>
          <t>Montréal</t>
        </is>
      </c>
      <c r="I179" s="37" t="inlineStr">
        <is>
          <t>Art de vivre</t>
        </is>
      </c>
      <c r="J179" s="36" t="n"/>
      <c r="K179" s="42" t="inlineStr">
        <is>
          <t>Ouvrir</t>
        </is>
      </c>
      <c r="L179" s="38" t="n"/>
      <c r="M179" s="38" t="n"/>
      <c r="N179" s="39" t="n"/>
      <c r="O179" t="inlineStr">
        <is>
          <t>G</t>
        </is>
      </c>
      <c r="P179" t="inlineStr">
        <is>
          <t>Un manteau isole avec une mauvaise herbe, au premier episode de Dragons' Den</t>
        </is>
      </c>
      <c r="Q179" t="inlineStr">
        <is>
          <t>Bonjour Louise,</t>
        </is>
      </c>
    </row>
    <row r="180" ht="15" customHeight="1" s="26">
      <c r="A180" s="43" t="inlineStr">
        <is>
          <t>C</t>
        </is>
      </c>
      <c r="B180" s="36" t="inlineStr">
        <is>
          <t>Guillaume</t>
        </is>
      </c>
      <c r="C180" s="36" t="inlineStr">
        <is>
          <t>Longuépée</t>
        </is>
      </c>
      <c r="D180" s="37" t="inlineStr">
        <is>
          <t>Journaliste</t>
        </is>
      </c>
      <c r="E180" s="36" t="inlineStr">
        <is>
          <t>Pigiste</t>
        </is>
      </c>
      <c r="F180" s="36" t="inlineStr">
        <is>
          <t>longuepeeguillaume04@gmail.com</t>
        </is>
      </c>
      <c r="G180" s="36" t="n"/>
      <c r="H180" s="36" t="inlineStr">
        <is>
          <t>Montréal</t>
        </is>
      </c>
      <c r="I180" s="37" t="inlineStr">
        <is>
          <t>Économie</t>
        </is>
      </c>
      <c r="J180" s="36" t="n"/>
      <c r="K180" s="42" t="inlineStr">
        <is>
          <t>Ouvrir</t>
        </is>
      </c>
      <c r="L180" s="38" t="n"/>
      <c r="M180" s="38" t="n"/>
      <c r="N180" s="39" t="n"/>
      <c r="O180" t="inlineStr">
        <is>
          <t>E</t>
        </is>
      </c>
      <c r="P180" t="inlineStr">
        <is>
          <t>Une PME qui a rapatrie sa production, puis en a delocalise une partie</t>
        </is>
      </c>
      <c r="Q180" t="inlineStr">
        <is>
          <t>Bonjour Guillaume,</t>
        </is>
      </c>
      <c r="R180" t="inlineStr">
        <is>
          <t>Adresse personnelle : individualiser vraiment</t>
        </is>
      </c>
    </row>
    <row r="181" ht="15" customHeight="1" s="26">
      <c r="A181" s="43" t="inlineStr">
        <is>
          <t>C</t>
        </is>
      </c>
      <c r="B181" s="36" t="inlineStr">
        <is>
          <t>Roxane</t>
        </is>
      </c>
      <c r="C181" s="36" t="inlineStr">
        <is>
          <t>Léouzon</t>
        </is>
      </c>
      <c r="D181" s="37" t="inlineStr">
        <is>
          <t>Journaliste</t>
        </is>
      </c>
      <c r="E181" s="36" t="inlineStr">
        <is>
          <t>Le Devoir</t>
        </is>
      </c>
      <c r="F181" s="36" t="inlineStr">
        <is>
          <t>rleouzon@ledevoir.com</t>
        </is>
      </c>
      <c r="G181" s="36" t="inlineStr">
        <is>
          <t>514 985-3333</t>
        </is>
      </c>
      <c r="H181" s="36" t="inlineStr">
        <is>
          <t>Montréal</t>
        </is>
      </c>
      <c r="I181" s="37" t="inlineStr">
        <is>
          <t>Économie</t>
        </is>
      </c>
      <c r="J181" s="36" t="n"/>
      <c r="K181" s="42" t="inlineStr">
        <is>
          <t>Ouvrir</t>
        </is>
      </c>
      <c r="L181" s="38" t="n"/>
      <c r="M181" s="38" t="n"/>
      <c r="N181" s="39" t="n"/>
      <c r="O181" t="inlineStr">
        <is>
          <t>E</t>
        </is>
      </c>
      <c r="P181" t="inlineStr">
        <is>
          <t>Une PME qui a rapatrie sa production, puis en a delocalise une partie</t>
        </is>
      </c>
      <c r="Q181" t="inlineStr">
        <is>
          <t>Bonjour Roxane,</t>
        </is>
      </c>
    </row>
    <row r="182" ht="15" customHeight="1" s="26">
      <c r="A182" s="43" t="inlineStr">
        <is>
          <t>C</t>
        </is>
      </c>
      <c r="B182" s="36" t="inlineStr">
        <is>
          <t>Ève</t>
        </is>
      </c>
      <c r="C182" s="36" t="inlineStr">
        <is>
          <t>Lévesque</t>
        </is>
      </c>
      <c r="D182" s="37" t="inlineStr">
        <is>
          <t>Recherchiste indépendante, journaliste et productrice</t>
        </is>
      </c>
      <c r="E182" s="36" t="inlineStr">
        <is>
          <t>Pigiste</t>
        </is>
      </c>
      <c r="F182" s="36" t="inlineStr">
        <is>
          <t>levesque.eve@outlook.com</t>
        </is>
      </c>
      <c r="G182" s="36" t="n"/>
      <c r="H182" s="36" t="inlineStr">
        <is>
          <t>Montréal</t>
        </is>
      </c>
      <c r="I182" s="37" t="inlineStr">
        <is>
          <t>Consommation</t>
        </is>
      </c>
      <c r="J182" s="36" t="n"/>
      <c r="K182" s="42" t="inlineStr">
        <is>
          <t>Ouvrir</t>
        </is>
      </c>
      <c r="L182" s="38" t="n"/>
      <c r="M182" s="38" t="n"/>
      <c r="N182" s="39" t="n"/>
      <c r="O182" t="inlineStr">
        <is>
          <t>I</t>
        </is>
      </c>
      <c r="P182" t="inlineStr">
        <is>
          <t>Invite disponible : Lasclay a Dragons' Den le 17 septembre</t>
        </is>
      </c>
      <c r="Q182" t="inlineStr">
        <is>
          <t>Bonjour Ève,</t>
        </is>
      </c>
      <c r="R182" t="inlineStr">
        <is>
          <t>Adresse personnelle : individualiser vraiment</t>
        </is>
      </c>
    </row>
    <row r="183" ht="15" customHeight="1" s="26">
      <c r="A183" s="43" t="inlineStr">
        <is>
          <t>C</t>
        </is>
      </c>
      <c r="B183" s="36" t="inlineStr">
        <is>
          <t>Sophie</t>
        </is>
      </c>
      <c r="C183" s="36" t="inlineStr">
        <is>
          <t>Mangado</t>
        </is>
      </c>
      <c r="D183" s="37" t="inlineStr">
        <is>
          <t>Journaliste, recherchiste</t>
        </is>
      </c>
      <c r="E183" s="36" t="inlineStr">
        <is>
          <t>Pigiste</t>
        </is>
      </c>
      <c r="F183" s="36" t="inlineStr">
        <is>
          <t>sophie.mangado@gmail.com</t>
        </is>
      </c>
      <c r="G183" s="36" t="n"/>
      <c r="H183" s="36" t="inlineStr">
        <is>
          <t>Montréal</t>
        </is>
      </c>
      <c r="I183" s="37" t="inlineStr">
        <is>
          <t>Sciences</t>
        </is>
      </c>
      <c r="J183" s="36" t="n"/>
      <c r="K183" s="42" t="inlineStr">
        <is>
          <t>Ouvrir</t>
        </is>
      </c>
      <c r="L183" s="38" t="n"/>
      <c r="M183" s="38" t="n"/>
      <c r="N183" s="39" t="n"/>
      <c r="O183" t="inlineStr">
        <is>
          <t>I</t>
        </is>
      </c>
      <c r="P183" t="inlineStr">
        <is>
          <t>Invite disponible : Lasclay a Dragons' Den le 17 septembre</t>
        </is>
      </c>
      <c r="Q183" t="inlineStr">
        <is>
          <t>Bonjour Sophie,</t>
        </is>
      </c>
      <c r="R183" t="inlineStr">
        <is>
          <t>Adresse personnelle : individualiser vraiment</t>
        </is>
      </c>
    </row>
    <row r="184" ht="15" customHeight="1" s="26">
      <c r="A184" s="43" t="inlineStr">
        <is>
          <t>C</t>
        </is>
      </c>
      <c r="B184" s="36" t="inlineStr">
        <is>
          <t>Colin</t>
        </is>
      </c>
      <c r="C184" s="36" t="inlineStr">
        <is>
          <t>McGregor</t>
        </is>
      </c>
      <c r="D184" s="37" t="inlineStr">
        <is>
          <t>journaliste et traducteur</t>
        </is>
      </c>
      <c r="E184" s="36" t="inlineStr">
        <is>
          <t>Pigiste</t>
        </is>
      </c>
      <c r="F184" s="36" t="inlineStr">
        <is>
          <t>colin.mcgregor@tse2015.ca</t>
        </is>
      </c>
      <c r="G184" s="36" t="inlineStr">
        <is>
          <t>514-256-9000</t>
        </is>
      </c>
      <c r="H184" s="36" t="inlineStr">
        <is>
          <t>Montréal</t>
        </is>
      </c>
      <c r="I184" s="37" t="inlineStr">
        <is>
          <t>Environnement</t>
        </is>
      </c>
      <c r="J184" s="36" t="n"/>
      <c r="K184" s="42" t="inlineStr">
        <is>
          <t>Ouvrir</t>
        </is>
      </c>
      <c r="L184" s="38" t="n"/>
      <c r="M184" s="38" t="n"/>
      <c r="N184" s="39" t="n"/>
      <c r="O184" t="inlineStr">
        <is>
          <t>D</t>
        </is>
      </c>
      <c r="P184" t="inlineStr">
        <is>
          <t>Le monarque, l'asclepiade, et l'idee qu'il faut la rendre payante</t>
        </is>
      </c>
      <c r="Q184" t="inlineStr">
        <is>
          <t>Bonjour Colin,</t>
        </is>
      </c>
      <c r="R184" t="inlineStr">
        <is>
          <t>Adresse personnelle : individualiser vraiment</t>
        </is>
      </c>
    </row>
    <row r="185" ht="15" customHeight="1" s="26">
      <c r="A185" s="43" t="inlineStr">
        <is>
          <t>C</t>
        </is>
      </c>
      <c r="B185" s="36" t="inlineStr">
        <is>
          <t>Isabelle</t>
        </is>
      </c>
      <c r="C185" s="36" t="inlineStr">
        <is>
          <t>Morin</t>
        </is>
      </c>
      <c r="D185" s="37" t="inlineStr">
        <is>
          <t>Reporter</t>
        </is>
      </c>
      <c r="E185" s="36" t="inlineStr">
        <is>
          <t>La Presse</t>
        </is>
      </c>
      <c r="F185" s="36" t="inlineStr">
        <is>
          <t>imorin@lapresse.ca</t>
        </is>
      </c>
      <c r="G185" s="36" t="inlineStr">
        <is>
          <t>514 285-7000, #7145</t>
        </is>
      </c>
      <c r="H185" s="36" t="inlineStr">
        <is>
          <t>Montréal</t>
        </is>
      </c>
      <c r="I185" s="37" t="inlineStr">
        <is>
          <t>Art de vivre</t>
        </is>
      </c>
      <c r="J185" s="36" t="n"/>
      <c r="K185" s="42" t="inlineStr">
        <is>
          <t>Ouvrir</t>
        </is>
      </c>
      <c r="L185" s="38" t="n"/>
      <c r="M185" s="38" t="n"/>
      <c r="N185" s="39" t="n"/>
      <c r="O185" t="inlineStr">
        <is>
          <t>G</t>
        </is>
      </c>
      <c r="P185" t="inlineStr">
        <is>
          <t>Un manteau isole avec une mauvaise herbe, au premier episode de Dragons' Den</t>
        </is>
      </c>
      <c r="Q185" t="inlineStr">
        <is>
          <t>Bonjour Isabelle,</t>
        </is>
      </c>
    </row>
    <row r="186" ht="15" customHeight="1" s="26">
      <c r="A186" s="43" t="inlineStr">
        <is>
          <t>C</t>
        </is>
      </c>
      <c r="B186" s="36" t="inlineStr">
        <is>
          <t>Timothy</t>
        </is>
      </c>
      <c r="C186" s="36" t="inlineStr">
        <is>
          <t>Morson</t>
        </is>
      </c>
      <c r="D186" s="37" t="inlineStr">
        <is>
          <t>Journaliste</t>
        </is>
      </c>
      <c r="E186" s="36" t="inlineStr">
        <is>
          <t>Pigiste</t>
        </is>
      </c>
      <c r="F186" s="36" t="inlineStr">
        <is>
          <t>tim.morson@videotron.ca</t>
        </is>
      </c>
      <c r="G186" s="36" t="inlineStr">
        <is>
          <t>5148278174</t>
        </is>
      </c>
      <c r="H186" s="36" t="inlineStr">
        <is>
          <t>Centre-du-Québec</t>
        </is>
      </c>
      <c r="I186" s="37" t="inlineStr">
        <is>
          <t>Économie</t>
        </is>
      </c>
      <c r="J186" s="36" t="n"/>
      <c r="K186" s="42" t="inlineStr">
        <is>
          <t>Ouvrir</t>
        </is>
      </c>
      <c r="L186" s="38" t="n"/>
      <c r="M186" s="38" t="n"/>
      <c r="N186" s="39" t="n"/>
      <c r="O186" t="inlineStr">
        <is>
          <t>E</t>
        </is>
      </c>
      <c r="P186" t="inlineStr">
        <is>
          <t>Une PME qui a rapatrie sa production, puis en a delocalise une partie</t>
        </is>
      </c>
      <c r="Q186" t="inlineStr">
        <is>
          <t>Bonjour Timothy,</t>
        </is>
      </c>
      <c r="R186" t="inlineStr">
        <is>
          <t>Adresse personnelle : individualiser vraiment</t>
        </is>
      </c>
    </row>
    <row r="187" ht="15" customHeight="1" s="26">
      <c r="A187" s="43" t="inlineStr">
        <is>
          <t>C</t>
        </is>
      </c>
      <c r="B187" s="36" t="inlineStr">
        <is>
          <t>Rachid</t>
        </is>
      </c>
      <c r="C187" s="36" t="inlineStr">
        <is>
          <t>Najahi</t>
        </is>
      </c>
      <c r="D187" s="37" t="inlineStr">
        <is>
          <t>Journaliste</t>
        </is>
      </c>
      <c r="E187" s="36" t="inlineStr">
        <is>
          <t>Groupe Atlas Média</t>
        </is>
      </c>
      <c r="F187" s="36" t="inlineStr">
        <is>
          <t>rachid.najahi@gmail.com</t>
        </is>
      </c>
      <c r="G187" s="36" t="inlineStr">
        <is>
          <t>5149628527</t>
        </is>
      </c>
      <c r="H187" s="36" t="inlineStr">
        <is>
          <t>Montréal</t>
        </is>
      </c>
      <c r="I187" s="37" t="inlineStr">
        <is>
          <t>Consommation</t>
        </is>
      </c>
      <c r="J187" s="36" t="n"/>
      <c r="K187" s="42" t="inlineStr">
        <is>
          <t>Ouvrir</t>
        </is>
      </c>
      <c r="L187" s="38" t="n"/>
      <c r="M187" s="38" t="n"/>
      <c r="N187" s="39" t="n"/>
      <c r="O187" t="inlineStr">
        <is>
          <t>G</t>
        </is>
      </c>
      <c r="P187" t="inlineStr">
        <is>
          <t>Un manteau isole avec une mauvaise herbe, au premier episode de Dragons' Den</t>
        </is>
      </c>
      <c r="Q187" t="inlineStr">
        <is>
          <t>Bonjour Rachid,</t>
        </is>
      </c>
      <c r="R187" t="inlineStr">
        <is>
          <t>Adresse personnelle : individualiser vraiment</t>
        </is>
      </c>
    </row>
    <row r="188" ht="15" customHeight="1" s="26">
      <c r="A188" s="43" t="inlineStr">
        <is>
          <t>C</t>
        </is>
      </c>
      <c r="B188" s="36" t="inlineStr">
        <is>
          <t>Richard</t>
        </is>
      </c>
      <c r="C188" s="36" t="inlineStr">
        <is>
          <t>Olivier</t>
        </is>
      </c>
      <c r="D188" s="37" t="inlineStr">
        <is>
          <t>Journaliste</t>
        </is>
      </c>
      <c r="E188" s="36" t="inlineStr">
        <is>
          <t>TVA Nouvelles</t>
        </is>
      </c>
      <c r="F188" s="36" t="inlineStr">
        <is>
          <t>richard.olivier@outlook.com</t>
        </is>
      </c>
      <c r="G188" s="36" t="n"/>
      <c r="H188" s="36" t="inlineStr">
        <is>
          <t>Montréal</t>
        </is>
      </c>
      <c r="I188" s="37" t="inlineStr">
        <is>
          <t>Consommation</t>
        </is>
      </c>
      <c r="J188" s="36" t="n"/>
      <c r="K188" s="42" t="inlineStr">
        <is>
          <t>Ouvrir</t>
        </is>
      </c>
      <c r="L188" s="38" t="n"/>
      <c r="M188" s="38" t="n"/>
      <c r="N188" s="39" t="n"/>
      <c r="O188" t="inlineStr">
        <is>
          <t>I</t>
        </is>
      </c>
      <c r="P188" t="inlineStr">
        <is>
          <t>Invite disponible : Lasclay a Dragons' Den le 17 septembre</t>
        </is>
      </c>
      <c r="Q188" t="inlineStr">
        <is>
          <t>Bonjour Richard,</t>
        </is>
      </c>
      <c r="R188" t="inlineStr">
        <is>
          <t>Adresse personnelle : individualiser vraiment</t>
        </is>
      </c>
    </row>
    <row r="189" ht="15" customHeight="1" s="26">
      <c r="A189" s="43" t="inlineStr">
        <is>
          <t>C</t>
        </is>
      </c>
      <c r="B189" s="36" t="inlineStr">
        <is>
          <t>MELISSA</t>
        </is>
      </c>
      <c r="C189" s="36" t="inlineStr">
        <is>
          <t>PELLETIER</t>
        </is>
      </c>
      <c r="D189" s="37" t="inlineStr">
        <is>
          <t>Journaliste à la recherche</t>
        </is>
      </c>
      <c r="E189" s="36" t="inlineStr">
        <is>
          <t>Radio-Canada</t>
        </is>
      </c>
      <c r="F189" s="36" t="inlineStr">
        <is>
          <t>melissa.pelletier@radio-canada.ca</t>
        </is>
      </c>
      <c r="G189" s="36" t="inlineStr">
        <is>
          <t>5145976980</t>
        </is>
      </c>
      <c r="H189" s="36" t="inlineStr">
        <is>
          <t>Montérégie</t>
        </is>
      </c>
      <c r="I189" s="37" t="inlineStr">
        <is>
          <t>Consommation</t>
        </is>
      </c>
      <c r="J189" s="36" t="n"/>
      <c r="K189" s="42" t="inlineStr">
        <is>
          <t>Ouvrir</t>
        </is>
      </c>
      <c r="L189" s="38" t="n"/>
      <c r="M189" s="38" t="n"/>
      <c r="N189" s="39" t="n"/>
      <c r="O189" t="inlineStr">
        <is>
          <t>B</t>
        </is>
      </c>
      <c r="P189" t="inlineStr">
        <is>
          <t>Montérégie : Lasclay au premier episode de la 21e saison de Dragons' Den</t>
        </is>
      </c>
      <c r="Q189" t="inlineStr">
        <is>
          <t>Bonjour MELISSA,</t>
        </is>
      </c>
    </row>
    <row r="190" ht="15" customHeight="1" s="26">
      <c r="A190" s="43" t="inlineStr">
        <is>
          <t>C</t>
        </is>
      </c>
      <c r="B190" s="36" t="inlineStr">
        <is>
          <t>Isaac</t>
        </is>
      </c>
      <c r="C190" s="36" t="inlineStr">
        <is>
          <t>Peltz</t>
        </is>
      </c>
      <c r="D190" s="37" t="inlineStr">
        <is>
          <t>Journaliste, Photographe de presse</t>
        </is>
      </c>
      <c r="E190" s="36" t="inlineStr">
        <is>
          <t>Pivot</t>
        </is>
      </c>
      <c r="F190" s="36" t="inlineStr">
        <is>
          <t>isaacapeltz@protonmail.com</t>
        </is>
      </c>
      <c r="G190" s="36" t="inlineStr">
        <is>
          <t>6043395583</t>
        </is>
      </c>
      <c r="H190" s="36" t="inlineStr">
        <is>
          <t>Centre-du-Québec</t>
        </is>
      </c>
      <c r="I190" s="37" t="inlineStr">
        <is>
          <t>Économie</t>
        </is>
      </c>
      <c r="J190" s="36" t="n"/>
      <c r="K190" s="42" t="inlineStr">
        <is>
          <t>Ouvrir</t>
        </is>
      </c>
      <c r="L190" s="38" t="n"/>
      <c r="M190" s="38" t="n"/>
      <c r="N190" s="39" t="n"/>
      <c r="O190" t="inlineStr">
        <is>
          <t>B</t>
        </is>
      </c>
      <c r="P190" t="inlineStr">
        <is>
          <t>Centre-du-Québec : Lasclay au premier episode de la 21e saison de Dragons' Den</t>
        </is>
      </c>
      <c r="Q190" t="inlineStr">
        <is>
          <t>Bonjour Isaac,</t>
        </is>
      </c>
    </row>
    <row r="191" ht="15" customHeight="1" s="26">
      <c r="A191" s="43" t="inlineStr">
        <is>
          <t>C</t>
        </is>
      </c>
      <c r="B191" s="36" t="inlineStr">
        <is>
          <t>Frédéric</t>
        </is>
      </c>
      <c r="C191" s="36" t="inlineStr">
        <is>
          <t>Perron</t>
        </is>
      </c>
      <c r="D191" s="37" t="inlineStr">
        <is>
          <t>Rédacteur en chef</t>
        </is>
      </c>
      <c r="E191" s="36" t="inlineStr">
        <is>
          <t>Protégez-Vous</t>
        </is>
      </c>
      <c r="F191" s="36" t="inlineStr">
        <is>
          <t>fperron@protegez-vous.ca</t>
        </is>
      </c>
      <c r="G191" s="36" t="inlineStr">
        <is>
          <t>514 461-3000 #121</t>
        </is>
      </c>
      <c r="H191" s="36" t="inlineStr">
        <is>
          <t>Montréal</t>
        </is>
      </c>
      <c r="I191" s="37" t="inlineStr">
        <is>
          <t>Consommation</t>
        </is>
      </c>
      <c r="J191" s="36" t="n"/>
      <c r="K191" s="42" t="inlineStr">
        <is>
          <t>Ouvrir</t>
        </is>
      </c>
      <c r="L191" s="38" t="n"/>
      <c r="M191" s="38" t="n"/>
      <c r="N191" s="39" t="n"/>
      <c r="O191" t="inlineStr">
        <is>
          <t>G</t>
        </is>
      </c>
      <c r="P191" t="inlineStr">
        <is>
          <t>Un manteau isole avec une mauvaise herbe, au premier episode de Dragons' Den</t>
        </is>
      </c>
      <c r="Q191" t="inlineStr">
        <is>
          <t>Bonjour Frédéric,</t>
        </is>
      </c>
    </row>
    <row r="192" ht="15" customHeight="1" s="26">
      <c r="A192" s="43" t="inlineStr">
        <is>
          <t>C</t>
        </is>
      </c>
      <c r="B192" s="36" t="inlineStr">
        <is>
          <t>Nathalie</t>
        </is>
      </c>
      <c r="C192" s="36" t="inlineStr">
        <is>
          <t>Petrowski</t>
        </is>
      </c>
      <c r="D192" s="37" t="inlineStr">
        <is>
          <t>Chroniqueuse - commentatrice</t>
        </is>
      </c>
      <c r="E192" s="36" t="inlineStr">
        <is>
          <t>Radio-Canada (Radio - Montréal)</t>
        </is>
      </c>
      <c r="F192" s="36" t="inlineStr">
        <is>
          <t>lacombem3@videotron.ca</t>
        </is>
      </c>
      <c r="G192" s="36" t="inlineStr">
        <is>
          <t>5148133110</t>
        </is>
      </c>
      <c r="H192" s="36" t="inlineStr">
        <is>
          <t>Montréal</t>
        </is>
      </c>
      <c r="I192" s="37" t="inlineStr">
        <is>
          <t>Art de vivre</t>
        </is>
      </c>
      <c r="J192" s="36" t="n"/>
      <c r="K192" s="42" t="inlineStr">
        <is>
          <t>Ouvrir</t>
        </is>
      </c>
      <c r="L192" s="38" t="n"/>
      <c r="M192" s="38" t="n"/>
      <c r="N192" s="39" t="n"/>
      <c r="O192" t="inlineStr">
        <is>
          <t>I</t>
        </is>
      </c>
      <c r="P192" t="inlineStr">
        <is>
          <t>Invite disponible : Lasclay a Dragons' Den le 17 septembre</t>
        </is>
      </c>
      <c r="Q192" t="inlineStr">
        <is>
          <t>Bonjour Nathalie,</t>
        </is>
      </c>
      <c r="R192" t="inlineStr">
        <is>
          <t>Adresse personnelle : individualiser vraiment</t>
        </is>
      </c>
    </row>
    <row r="193" ht="15" customHeight="1" s="26">
      <c r="A193" s="43" t="inlineStr">
        <is>
          <t>C</t>
        </is>
      </c>
      <c r="B193" s="36" t="inlineStr">
        <is>
          <t>Francis</t>
        </is>
      </c>
      <c r="C193" s="36" t="inlineStr">
        <is>
          <t>Plourde</t>
        </is>
      </c>
      <c r="D193" s="37" t="inlineStr">
        <is>
          <t>Journaliste</t>
        </is>
      </c>
      <c r="E193" s="36" t="inlineStr">
        <is>
          <t>Radio-Canada</t>
        </is>
      </c>
      <c r="F193" s="36" t="inlineStr">
        <is>
          <t>francis.plourde@radio-canada.ca</t>
        </is>
      </c>
      <c r="G193" s="36" t="inlineStr">
        <is>
          <t>236-330-4894</t>
        </is>
      </c>
      <c r="H193" s="36" t="inlineStr">
        <is>
          <t>Canada anglais</t>
        </is>
      </c>
      <c r="I193" s="37" t="inlineStr">
        <is>
          <t>Environnement</t>
        </is>
      </c>
      <c r="J193" s="36" t="n"/>
      <c r="K193" s="42" t="inlineStr">
        <is>
          <t>Ouvrir</t>
        </is>
      </c>
      <c r="L193" s="38" t="n"/>
      <c r="M193" s="38" t="n"/>
      <c r="N193" s="39" t="n"/>
      <c r="O193" t="inlineStr">
        <is>
          <t>B</t>
        </is>
      </c>
      <c r="P193" t="inlineStr">
        <is>
          <t>Canada anglais : Lasclay au premier episode de la 21e saison de Dragons' Den</t>
        </is>
      </c>
      <c r="Q193" t="inlineStr">
        <is>
          <t>Bonjour Francis,</t>
        </is>
      </c>
    </row>
    <row r="194" ht="15" customHeight="1" s="26">
      <c r="A194" s="43" t="inlineStr">
        <is>
          <t>C</t>
        </is>
      </c>
      <c r="B194" s="36" t="inlineStr">
        <is>
          <t>Raymonde</t>
        </is>
      </c>
      <c r="C194" s="36" t="inlineStr">
        <is>
          <t>Provencher</t>
        </is>
      </c>
      <c r="D194" s="37" t="inlineStr">
        <is>
          <t>Réalisatrice - productrice - recherchiste - scénariste</t>
        </is>
      </c>
      <c r="E194" s="36" t="inlineStr">
        <is>
          <t>Pigiste</t>
        </is>
      </c>
      <c r="F194" s="36" t="inlineStr">
        <is>
          <t>raymondep@macumbainternational.com</t>
        </is>
      </c>
      <c r="G194" s="36" t="inlineStr">
        <is>
          <t>438 889 9212</t>
        </is>
      </c>
      <c r="H194" s="36" t="inlineStr">
        <is>
          <t>Montréal</t>
        </is>
      </c>
      <c r="I194" s="37" t="inlineStr">
        <is>
          <t>Environnement</t>
        </is>
      </c>
      <c r="J194" s="36" t="n"/>
      <c r="K194" s="42" t="inlineStr">
        <is>
          <t>Ouvrir</t>
        </is>
      </c>
      <c r="L194" s="38" t="n"/>
      <c r="M194" s="38" t="n"/>
      <c r="N194" s="39" t="n"/>
      <c r="O194" t="inlineStr">
        <is>
          <t>I</t>
        </is>
      </c>
      <c r="P194" t="inlineStr">
        <is>
          <t>Invite disponible : Lasclay a Dragons' Den le 17 septembre</t>
        </is>
      </c>
      <c r="Q194" t="inlineStr">
        <is>
          <t>Bonjour Raymonde,</t>
        </is>
      </c>
      <c r="R194" t="inlineStr">
        <is>
          <t>Adresse personnelle : individualiser vraiment</t>
        </is>
      </c>
    </row>
    <row r="195" ht="15" customHeight="1" s="26">
      <c r="A195" s="43" t="inlineStr">
        <is>
          <t>C</t>
        </is>
      </c>
      <c r="B195" s="36" t="inlineStr">
        <is>
          <t>Richard</t>
        </is>
      </c>
      <c r="C195" s="36" t="inlineStr">
        <is>
          <t>Prudhomme</t>
        </is>
      </c>
      <c r="D195" s="37" t="inlineStr">
        <is>
          <t>photographe de presse</t>
        </is>
      </c>
      <c r="E195" s="36" t="inlineStr">
        <is>
          <t>Pigiste</t>
        </is>
      </c>
      <c r="F195" s="36" t="inlineStr">
        <is>
          <t>rawdonphotos@hotmail.com</t>
        </is>
      </c>
      <c r="G195" s="36" t="inlineStr">
        <is>
          <t>450-755-8037</t>
        </is>
      </c>
      <c r="H195" s="36" t="inlineStr">
        <is>
          <t>Lanaudière</t>
        </is>
      </c>
      <c r="I195" s="37" t="inlineStr">
        <is>
          <t>Environnement; Mode et beauté</t>
        </is>
      </c>
      <c r="J195" s="36" t="n"/>
      <c r="K195" s="42" t="inlineStr">
        <is>
          <t>Ouvrir</t>
        </is>
      </c>
      <c r="L195" s="38" t="n"/>
      <c r="M195" s="38" t="n"/>
      <c r="N195" s="39" t="n"/>
      <c r="O195" t="inlineStr">
        <is>
          <t>G</t>
        </is>
      </c>
      <c r="P195" t="inlineStr">
        <is>
          <t>Un manteau isole avec une mauvaise herbe, au premier episode de Dragons' Den</t>
        </is>
      </c>
      <c r="Q195" t="inlineStr">
        <is>
          <t>Bonjour Richard,</t>
        </is>
      </c>
      <c r="R195" t="inlineStr">
        <is>
          <t>Adresse personnelle : individualiser vraiment</t>
        </is>
      </c>
    </row>
    <row r="196" ht="15" customHeight="1" s="26">
      <c r="A196" s="43" t="inlineStr">
        <is>
          <t>C</t>
        </is>
      </c>
      <c r="B196" s="36" t="inlineStr">
        <is>
          <t>Pascale</t>
        </is>
      </c>
      <c r="C196" s="36" t="inlineStr">
        <is>
          <t>Renaud</t>
        </is>
      </c>
      <c r="D196" s="37" t="inlineStr">
        <is>
          <t>Freelance en journalisme</t>
        </is>
      </c>
      <c r="E196" s="36" t="inlineStr">
        <is>
          <t>Pigiste</t>
        </is>
      </c>
      <c r="F196" s="36" t="inlineStr">
        <is>
          <t>pascalerenaud29@hotmail.com</t>
        </is>
      </c>
      <c r="G196" s="36" t="inlineStr">
        <is>
          <t>5145665617</t>
        </is>
      </c>
      <c r="H196" s="36" t="inlineStr">
        <is>
          <t>Montréal</t>
        </is>
      </c>
      <c r="I196" s="37" t="inlineStr">
        <is>
          <t>Consommation</t>
        </is>
      </c>
      <c r="J196" s="36" t="n"/>
      <c r="K196" s="42" t="inlineStr">
        <is>
          <t>Ouvrir</t>
        </is>
      </c>
      <c r="L196" s="38" t="n"/>
      <c r="M196" s="38" t="n"/>
      <c r="N196" s="39" t="n"/>
      <c r="O196" t="inlineStr">
        <is>
          <t>G</t>
        </is>
      </c>
      <c r="P196" t="inlineStr">
        <is>
          <t>Un manteau isole avec une mauvaise herbe, au premier episode de Dragons' Den</t>
        </is>
      </c>
      <c r="Q196" t="inlineStr">
        <is>
          <t>Bonjour Pascale,</t>
        </is>
      </c>
      <c r="R196" t="inlineStr">
        <is>
          <t>Adresse personnelle : individualiser vraiment</t>
        </is>
      </c>
    </row>
    <row r="197" ht="15" customHeight="1" s="26">
      <c r="A197" s="43" t="inlineStr">
        <is>
          <t>C</t>
        </is>
      </c>
      <c r="B197" s="36" t="inlineStr">
        <is>
          <t>Marc Sony</t>
        </is>
      </c>
      <c r="C197" s="36" t="inlineStr">
        <is>
          <t>Ricot</t>
        </is>
      </c>
      <c r="D197" s="37" t="inlineStr">
        <is>
          <t>Chroniqueur</t>
        </is>
      </c>
      <c r="E197" s="36" t="inlineStr">
        <is>
          <t>La Presse</t>
        </is>
      </c>
      <c r="F197" s="36" t="inlineStr">
        <is>
          <t>mricot@collaborateur.lapresse.ca</t>
        </is>
      </c>
      <c r="G197" s="36" t="inlineStr">
        <is>
          <t>4385359125</t>
        </is>
      </c>
      <c r="H197" s="36" t="inlineStr">
        <is>
          <t>Montréal</t>
        </is>
      </c>
      <c r="I197" s="37" t="inlineStr">
        <is>
          <t>Art de vivre</t>
        </is>
      </c>
      <c r="J197" s="36" t="n"/>
      <c r="K197" s="42" t="inlineStr">
        <is>
          <t>Ouvrir</t>
        </is>
      </c>
      <c r="L197" s="38" t="n"/>
      <c r="M197" s="38" t="n"/>
      <c r="N197" s="39" t="n"/>
      <c r="O197" t="inlineStr">
        <is>
          <t>G</t>
        </is>
      </c>
      <c r="P197" t="inlineStr">
        <is>
          <t>Un manteau isole avec une mauvaise herbe, au premier episode de Dragons' Den</t>
        </is>
      </c>
      <c r="Q197" t="inlineStr">
        <is>
          <t>Bonjour Marc Sony,</t>
        </is>
      </c>
    </row>
    <row r="198" ht="23.85" customHeight="1" s="26">
      <c r="A198" s="43" t="inlineStr">
        <is>
          <t>C</t>
        </is>
      </c>
      <c r="B198" s="36" t="inlineStr">
        <is>
          <t>Marie-Paul</t>
        </is>
      </c>
      <c r="C198" s="36" t="inlineStr">
        <is>
          <t>Rouleau</t>
        </is>
      </c>
      <c r="D198" s="37" t="inlineStr">
        <is>
          <t>Journaliste pigiste - Professeur-formatrice - Réalisatrice de balado</t>
        </is>
      </c>
      <c r="E198" s="36" t="inlineStr">
        <is>
          <t>Pigiste</t>
        </is>
      </c>
      <c r="F198" s="36" t="inlineStr">
        <is>
          <t>mprouleau100@gmail.com</t>
        </is>
      </c>
      <c r="G198" s="36" t="inlineStr">
        <is>
          <t>514 647 8425</t>
        </is>
      </c>
      <c r="H198" s="36" t="inlineStr">
        <is>
          <t>Montréal</t>
        </is>
      </c>
      <c r="I198" s="37" t="inlineStr">
        <is>
          <t>Environnement</t>
        </is>
      </c>
      <c r="J198" s="36" t="n"/>
      <c r="K198" s="42" t="inlineStr">
        <is>
          <t>Ouvrir</t>
        </is>
      </c>
      <c r="L198" s="38" t="n"/>
      <c r="M198" s="38" t="n"/>
      <c r="N198" s="39" t="n"/>
      <c r="O198" t="inlineStr">
        <is>
          <t>D</t>
        </is>
      </c>
      <c r="P198" t="inlineStr">
        <is>
          <t>Le monarque, l'asclepiade, et l'idee qu'il faut la rendre payante</t>
        </is>
      </c>
      <c r="Q198" t="inlineStr">
        <is>
          <t>Bonjour Marie-Paul,</t>
        </is>
      </c>
      <c r="R198" t="inlineStr">
        <is>
          <t>Adresse personnelle : individualiser vraiment</t>
        </is>
      </c>
    </row>
    <row r="199" ht="15" customHeight="1" s="26">
      <c r="A199" s="43" t="inlineStr">
        <is>
          <t>C</t>
        </is>
      </c>
      <c r="B199" s="36" t="inlineStr">
        <is>
          <t>Emmalie</t>
        </is>
      </c>
      <c r="C199" s="36" t="inlineStr">
        <is>
          <t>Ruest</t>
        </is>
      </c>
      <c r="D199" s="37" t="inlineStr">
        <is>
          <t>journaliste</t>
        </is>
      </c>
      <c r="E199" s="36" t="inlineStr">
        <is>
          <t>Radio-Canada (RDI)</t>
        </is>
      </c>
      <c r="F199" s="36" t="inlineStr">
        <is>
          <t>emmalie.ruest@radio-canada.ca</t>
        </is>
      </c>
      <c r="G199" s="36" t="n"/>
      <c r="H199" s="36" t="inlineStr">
        <is>
          <t>Montréal</t>
        </is>
      </c>
      <c r="I199" s="37" t="inlineStr">
        <is>
          <t>Environnement</t>
        </is>
      </c>
      <c r="J199" s="36" t="n"/>
      <c r="K199" s="42" t="inlineStr">
        <is>
          <t>Ouvrir</t>
        </is>
      </c>
      <c r="L199" s="38" t="n"/>
      <c r="M199" s="38" t="n"/>
      <c r="N199" s="39" t="n"/>
      <c r="O199" t="inlineStr">
        <is>
          <t>I</t>
        </is>
      </c>
      <c r="P199" t="inlineStr">
        <is>
          <t>Invite disponible : Lasclay a Dragons' Den le 17 septembre</t>
        </is>
      </c>
      <c r="Q199" t="inlineStr">
        <is>
          <t>Bonjour Emmalie,</t>
        </is>
      </c>
    </row>
    <row r="200" ht="15" customHeight="1" s="26">
      <c r="A200" s="43" t="inlineStr">
        <is>
          <t>C</t>
        </is>
      </c>
      <c r="B200" s="36" t="inlineStr">
        <is>
          <t>Louis-Philippe</t>
        </is>
      </c>
      <c r="C200" s="36" t="inlineStr">
        <is>
          <t>Samson</t>
        </is>
      </c>
      <c r="D200" s="37" t="inlineStr">
        <is>
          <t>Journaliste</t>
        </is>
      </c>
      <c r="E200" s="36" t="inlineStr">
        <is>
          <t>L'Express (Drummondville)</t>
        </is>
      </c>
      <c r="F200" s="36" t="inlineStr">
        <is>
          <t>louis-philippe.samson@journalexpress.ca</t>
        </is>
      </c>
      <c r="G200" s="36" t="inlineStr">
        <is>
          <t>819 478-8171 poste 518</t>
        </is>
      </c>
      <c r="H200" s="36" t="inlineStr">
        <is>
          <t>Centre-du-Québec</t>
        </is>
      </c>
      <c r="I200" s="37" t="inlineStr">
        <is>
          <t>Économie</t>
        </is>
      </c>
      <c r="J200" s="36" t="n"/>
      <c r="K200" s="42" t="inlineStr">
        <is>
          <t>Ouvrir</t>
        </is>
      </c>
      <c r="L200" s="38" t="n"/>
      <c r="M200" s="38" t="n"/>
      <c r="N200" s="39" t="n"/>
      <c r="O200" t="inlineStr">
        <is>
          <t>B</t>
        </is>
      </c>
      <c r="P200" t="inlineStr">
        <is>
          <t>Centre-du-Québec : Lasclay au premier episode de la 21e saison de Dragons' Den</t>
        </is>
      </c>
      <c r="Q200" t="inlineStr">
        <is>
          <t>Bonjour Louis-Philippe,</t>
        </is>
      </c>
    </row>
    <row r="201" ht="15" customHeight="1" s="26">
      <c r="A201" s="43" t="inlineStr">
        <is>
          <t>C</t>
        </is>
      </c>
      <c r="B201" s="36" t="inlineStr">
        <is>
          <t>Catherine</t>
        </is>
      </c>
      <c r="C201" s="36" t="inlineStr">
        <is>
          <t>Schlager</t>
        </is>
      </c>
      <c r="D201" s="37" t="inlineStr">
        <is>
          <t>Journaliste au pupitre</t>
        </is>
      </c>
      <c r="E201" s="36" t="inlineStr">
        <is>
          <t>La Presse</t>
        </is>
      </c>
      <c r="F201" s="36" t="inlineStr">
        <is>
          <t>cschlager@lapresse.ca</t>
        </is>
      </c>
      <c r="G201" s="36" t="inlineStr">
        <is>
          <t>514 285-7000, #6581</t>
        </is>
      </c>
      <c r="H201" s="36" t="inlineStr">
        <is>
          <t>Montréal</t>
        </is>
      </c>
      <c r="I201" s="37" t="inlineStr">
        <is>
          <t>Art de vivre; Consommation</t>
        </is>
      </c>
      <c r="J201" s="36" t="n"/>
      <c r="K201" s="42" t="inlineStr">
        <is>
          <t>Ouvrir</t>
        </is>
      </c>
      <c r="L201" s="38" t="n"/>
      <c r="M201" s="38" t="n"/>
      <c r="N201" s="39" t="n"/>
      <c r="O201" t="inlineStr">
        <is>
          <t>G</t>
        </is>
      </c>
      <c r="P201" t="inlineStr">
        <is>
          <t>Un manteau isole avec une mauvaise herbe, au premier episode de Dragons' Den</t>
        </is>
      </c>
      <c r="Q201" t="inlineStr">
        <is>
          <t>Bonjour Catherine,</t>
        </is>
      </c>
    </row>
    <row r="202" ht="15" customHeight="1" s="26">
      <c r="A202" s="43" t="inlineStr">
        <is>
          <t>C</t>
        </is>
      </c>
      <c r="B202" s="36" t="inlineStr">
        <is>
          <t>Olivier</t>
        </is>
      </c>
      <c r="C202" s="36" t="inlineStr">
        <is>
          <t>Schmouker</t>
        </is>
      </c>
      <c r="D202" s="37" t="inlineStr">
        <is>
          <t>Chroniqueur et responsable des dossiers</t>
        </is>
      </c>
      <c r="E202" s="36" t="inlineStr">
        <is>
          <t>Les Affaires</t>
        </is>
      </c>
      <c r="F202" s="36" t="inlineStr">
        <is>
          <t>olivier.schmouker@groupecontex.ca</t>
        </is>
      </c>
      <c r="G202" s="36" t="n"/>
      <c r="H202" s="36" t="inlineStr">
        <is>
          <t>Montréal</t>
        </is>
      </c>
      <c r="I202" s="37" t="inlineStr">
        <is>
          <t>Économie</t>
        </is>
      </c>
      <c r="J202" s="36" t="n"/>
      <c r="K202" s="42" t="inlineStr">
        <is>
          <t>Ouvrir</t>
        </is>
      </c>
      <c r="L202" s="38" t="n"/>
      <c r="M202" s="38" t="n"/>
      <c r="N202" s="39" t="n"/>
      <c r="O202" t="inlineStr">
        <is>
          <t>E</t>
        </is>
      </c>
      <c r="P202" t="inlineStr">
        <is>
          <t>Une PME qui a rapatrie sa production, puis en a delocalise une partie</t>
        </is>
      </c>
      <c r="Q202" t="inlineStr">
        <is>
          <t>Bonjour Olivier,</t>
        </is>
      </c>
    </row>
    <row r="203" ht="15" customHeight="1" s="26">
      <c r="A203" s="43" t="inlineStr">
        <is>
          <t>C</t>
        </is>
      </c>
      <c r="B203" s="36" t="inlineStr">
        <is>
          <t>Jacques</t>
        </is>
      </c>
      <c r="C203" s="36" t="inlineStr">
        <is>
          <t>Sennechael</t>
        </is>
      </c>
      <c r="D203" s="37" t="inlineStr">
        <is>
          <t>Rédacteur en chef</t>
        </is>
      </c>
      <c r="E203" s="36" t="inlineStr">
        <is>
          <t>Vélo Québec Éditions - Vélo Mag</t>
        </is>
      </c>
      <c r="F203" s="36" t="inlineStr">
        <is>
          <t>jsennechael@velo.qc.ca</t>
        </is>
      </c>
      <c r="G203" s="36" t="n"/>
      <c r="H203" s="36" t="inlineStr">
        <is>
          <t>Lanaudière</t>
        </is>
      </c>
      <c r="I203" s="37" t="inlineStr">
        <is>
          <t>Plein air</t>
        </is>
      </c>
      <c r="J203" s="36" t="n"/>
      <c r="K203" s="42" t="inlineStr">
        <is>
          <t>Ouvrir</t>
        </is>
      </c>
      <c r="L203" s="38" t="n"/>
      <c r="M203" s="38" t="n"/>
      <c r="N203" s="39" t="n"/>
      <c r="O203" t="inlineStr">
        <is>
          <t>B</t>
        </is>
      </c>
      <c r="P203" t="inlineStr">
        <is>
          <t>Lanaudière : Lasclay au premier episode de la 21e saison de Dragons' Den</t>
        </is>
      </c>
      <c r="Q203" t="inlineStr">
        <is>
          <t>Bonjour Jacques,</t>
        </is>
      </c>
    </row>
    <row r="204" ht="15" customHeight="1" s="26">
      <c r="A204" s="43" t="inlineStr">
        <is>
          <t>C</t>
        </is>
      </c>
      <c r="B204" s="36" t="inlineStr">
        <is>
          <t>Alexandre</t>
        </is>
      </c>
      <c r="C204" s="36" t="inlineStr">
        <is>
          <t>Shields</t>
        </is>
      </c>
      <c r="D204" s="37" t="inlineStr">
        <is>
          <t>Journaliste</t>
        </is>
      </c>
      <c r="E204" s="36" t="inlineStr">
        <is>
          <t>Le Devoir</t>
        </is>
      </c>
      <c r="F204" s="36" t="inlineStr">
        <is>
          <t>ashields@ledevoir.com</t>
        </is>
      </c>
      <c r="G204" s="36" t="inlineStr">
        <is>
          <t>514-583-1055</t>
        </is>
      </c>
      <c r="H204" s="36" t="inlineStr">
        <is>
          <t>Montréal</t>
        </is>
      </c>
      <c r="I204" s="37" t="inlineStr">
        <is>
          <t>Environnement</t>
        </is>
      </c>
      <c r="J204" s="36" t="n"/>
      <c r="K204" s="42" t="inlineStr">
        <is>
          <t>Ouvrir</t>
        </is>
      </c>
      <c r="L204" s="38" t="n"/>
      <c r="M204" s="38" t="n"/>
      <c r="N204" s="39" t="n"/>
      <c r="O204" t="inlineStr">
        <is>
          <t>D</t>
        </is>
      </c>
      <c r="P204" t="inlineStr">
        <is>
          <t>Le monarque, l'asclepiade, et l'idee qu'il faut la rendre payante</t>
        </is>
      </c>
      <c r="Q204" t="inlineStr">
        <is>
          <t>Bonjour Alexandre,</t>
        </is>
      </c>
    </row>
    <row r="205" ht="15" customHeight="1" s="26">
      <c r="A205" s="43" t="inlineStr">
        <is>
          <t>C</t>
        </is>
      </c>
      <c r="B205" s="36" t="inlineStr">
        <is>
          <t>Chloé</t>
        </is>
      </c>
      <c r="C205" s="36" t="inlineStr">
        <is>
          <t>Sondervorst</t>
        </is>
      </c>
      <c r="D205" s="37" t="inlineStr">
        <is>
          <t>Réalisatrice</t>
        </is>
      </c>
      <c r="E205" s="36" t="inlineStr">
        <is>
          <t>Radio-Canada (QC)</t>
        </is>
      </c>
      <c r="F205" s="36" t="inlineStr">
        <is>
          <t>chloe.sondervorst@radio-canada.ca</t>
        </is>
      </c>
      <c r="G205" s="36" t="n"/>
      <c r="H205" s="36" t="inlineStr">
        <is>
          <t>Montréal</t>
        </is>
      </c>
      <c r="I205" s="37" t="inlineStr">
        <is>
          <t>Environnement</t>
        </is>
      </c>
      <c r="J205" s="36" t="n"/>
      <c r="K205" s="42" t="inlineStr">
        <is>
          <t>Ouvrir</t>
        </is>
      </c>
      <c r="L205" s="38" t="n"/>
      <c r="M205" s="38" t="n"/>
      <c r="N205" s="39" t="n"/>
      <c r="O205" t="inlineStr">
        <is>
          <t>D</t>
        </is>
      </c>
      <c r="P205" t="inlineStr">
        <is>
          <t>Le monarque, l'asclepiade, et l'idee qu'il faut la rendre payante</t>
        </is>
      </c>
      <c r="Q205" t="inlineStr">
        <is>
          <t>Bonjour Chloé,</t>
        </is>
      </c>
    </row>
    <row r="206" ht="15" customHeight="1" s="26">
      <c r="A206" s="43" t="inlineStr">
        <is>
          <t>C</t>
        </is>
      </c>
      <c r="B206" s="36" t="inlineStr">
        <is>
          <t>Kimberley</t>
        </is>
      </c>
      <c r="C206" s="36" t="inlineStr">
        <is>
          <t>Sullivan</t>
        </is>
      </c>
      <c r="D206" s="37" t="inlineStr">
        <is>
          <t>Animatrice, journaliste, productrice</t>
        </is>
      </c>
      <c r="E206" s="36" t="inlineStr">
        <is>
          <t>Pigiste</t>
        </is>
      </c>
      <c r="F206" s="36" t="inlineStr">
        <is>
          <t>ksullivan@aptn.ca</t>
        </is>
      </c>
      <c r="G206" s="36" t="inlineStr">
        <is>
          <t>514-888-1046</t>
        </is>
      </c>
      <c r="H206" s="36" t="inlineStr">
        <is>
          <t>Montérégie</t>
        </is>
      </c>
      <c r="I206" s="37" t="inlineStr">
        <is>
          <t>Art de vivre</t>
        </is>
      </c>
      <c r="J206" s="36" t="n"/>
      <c r="K206" s="42" t="inlineStr">
        <is>
          <t>Ouvrir</t>
        </is>
      </c>
      <c r="L206" s="38" t="n"/>
      <c r="M206" s="38" t="n"/>
      <c r="N206" s="39" t="n"/>
      <c r="O206" t="inlineStr">
        <is>
          <t>I</t>
        </is>
      </c>
      <c r="P206" t="inlineStr">
        <is>
          <t>Invite disponible : Lasclay a Dragons' Den le 17 septembre</t>
        </is>
      </c>
      <c r="Q206" t="inlineStr">
        <is>
          <t>Bonjour Kimberley,</t>
        </is>
      </c>
      <c r="R206" t="inlineStr">
        <is>
          <t>Adresse personnelle : individualiser vraiment</t>
        </is>
      </c>
    </row>
    <row r="207" ht="15" customHeight="1" s="26">
      <c r="A207" s="43" t="inlineStr">
        <is>
          <t>C</t>
        </is>
      </c>
      <c r="B207" s="36" t="inlineStr">
        <is>
          <t>William</t>
        </is>
      </c>
      <c r="C207" s="36" t="inlineStr">
        <is>
          <t>Thériault</t>
        </is>
      </c>
      <c r="D207" s="37" t="inlineStr">
        <is>
          <t>Journaliste</t>
        </is>
      </c>
      <c r="E207" s="36" t="inlineStr">
        <is>
          <t>La Presse</t>
        </is>
      </c>
      <c r="F207" s="36" t="inlineStr">
        <is>
          <t>williamtheriault1@gmail.com</t>
        </is>
      </c>
      <c r="G207" s="36" t="n"/>
      <c r="H207" s="36" t="inlineStr">
        <is>
          <t>Montérégie</t>
        </is>
      </c>
      <c r="I207" s="37" t="inlineStr">
        <is>
          <t>Économie</t>
        </is>
      </c>
      <c r="J207" s="36" t="n"/>
      <c r="K207" s="42" t="inlineStr">
        <is>
          <t>Ouvrir</t>
        </is>
      </c>
      <c r="L207" s="38" t="n"/>
      <c r="M207" s="38" t="n"/>
      <c r="N207" s="39" t="n"/>
      <c r="O207" t="inlineStr">
        <is>
          <t>E</t>
        </is>
      </c>
      <c r="P207" t="inlineStr">
        <is>
          <t>Une PME qui a rapatrie sa production, puis en a delocalise une partie</t>
        </is>
      </c>
      <c r="Q207" t="inlineStr">
        <is>
          <t>Bonjour William,</t>
        </is>
      </c>
      <c r="R207" t="inlineStr">
        <is>
          <t>Adresse personnelle : individualiser vraiment</t>
        </is>
      </c>
    </row>
    <row r="208" ht="15" customHeight="1" s="26">
      <c r="A208" s="43" t="inlineStr">
        <is>
          <t>C</t>
        </is>
      </c>
      <c r="B208" s="36" t="inlineStr">
        <is>
          <t>Katia</t>
        </is>
      </c>
      <c r="C208" s="36" t="inlineStr">
        <is>
          <t>Tobar</t>
        </is>
      </c>
      <c r="D208" s="37" t="inlineStr">
        <is>
          <t>Pupitre</t>
        </is>
      </c>
      <c r="E208" s="36" t="inlineStr">
        <is>
          <t>Les Affaires</t>
        </is>
      </c>
      <c r="F208" s="36" t="inlineStr">
        <is>
          <t>katia.tobar@groupecontex.ca</t>
        </is>
      </c>
      <c r="G208" s="36" t="inlineStr">
        <is>
          <t>514 503 9958</t>
        </is>
      </c>
      <c r="H208" s="36" t="inlineStr">
        <is>
          <t>Montréal</t>
        </is>
      </c>
      <c r="I208" s="37" t="inlineStr">
        <is>
          <t>Économie</t>
        </is>
      </c>
      <c r="J208" s="36" t="n"/>
      <c r="K208" s="42" t="inlineStr">
        <is>
          <t>Ouvrir</t>
        </is>
      </c>
      <c r="L208" s="38" t="n"/>
      <c r="M208" s="38" t="n"/>
      <c r="N208" s="39" t="n"/>
      <c r="O208" t="inlineStr">
        <is>
          <t>E</t>
        </is>
      </c>
      <c r="P208" t="inlineStr">
        <is>
          <t>Une PME qui a rapatrie sa production, puis en a delocalise une partie</t>
        </is>
      </c>
      <c r="Q208" t="inlineStr">
        <is>
          <t>Bonjour Katia,</t>
        </is>
      </c>
    </row>
    <row r="209" ht="15" customHeight="1" s="26">
      <c r="A209" s="43" t="inlineStr">
        <is>
          <t>C</t>
        </is>
      </c>
      <c r="B209" s="36" t="inlineStr">
        <is>
          <t>Martin</t>
        </is>
      </c>
      <c r="C209" s="36" t="inlineStr">
        <is>
          <t>Tremblay</t>
        </is>
      </c>
      <c r="D209" s="37" t="inlineStr">
        <is>
          <t>Photojournaliste-vidéaste</t>
        </is>
      </c>
      <c r="E209" s="36" t="inlineStr">
        <is>
          <t>La Presse</t>
        </is>
      </c>
      <c r="F209" s="36" t="inlineStr">
        <is>
          <t>martin.tremblay@lapresse.ca</t>
        </is>
      </c>
      <c r="G209" s="36" t="n"/>
      <c r="H209" s="36" t="inlineStr">
        <is>
          <t>Montréal</t>
        </is>
      </c>
      <c r="I209" s="37" t="inlineStr">
        <is>
          <t>Environnement</t>
        </is>
      </c>
      <c r="J209" s="36" t="n"/>
      <c r="K209" s="42" t="inlineStr">
        <is>
          <t>Ouvrir</t>
        </is>
      </c>
      <c r="L209" s="38" t="n"/>
      <c r="M209" s="38" t="n"/>
      <c r="N209" s="39" t="n"/>
      <c r="O209" t="inlineStr">
        <is>
          <t>D</t>
        </is>
      </c>
      <c r="P209" t="inlineStr">
        <is>
          <t>Le monarque, l'asclepiade, et l'idee qu'il faut la rendre payante</t>
        </is>
      </c>
      <c r="Q209" t="inlineStr">
        <is>
          <t>Bonjour Martin,</t>
        </is>
      </c>
    </row>
    <row r="210" ht="15" customHeight="1" s="26">
      <c r="A210" s="43" t="inlineStr">
        <is>
          <t>C</t>
        </is>
      </c>
      <c r="B210" s="36" t="inlineStr">
        <is>
          <t>Marie-Christine</t>
        </is>
      </c>
      <c r="C210" s="36" t="inlineStr">
        <is>
          <t>Trottier</t>
        </is>
      </c>
      <c r="D210" s="37" t="inlineStr">
        <is>
          <t>Journaliste - animatrice</t>
        </is>
      </c>
      <c r="E210" s="36" t="inlineStr">
        <is>
          <t>Radio-Canada (Radio - Montréal)</t>
        </is>
      </c>
      <c r="F210" s="36" t="inlineStr">
        <is>
          <t>marie-christine.trottier@radio-canada.ca</t>
        </is>
      </c>
      <c r="G210" s="36" t="inlineStr">
        <is>
          <t>514 597-5767</t>
        </is>
      </c>
      <c r="H210" s="36" t="inlineStr">
        <is>
          <t>Montréal</t>
        </is>
      </c>
      <c r="I210" s="37" t="inlineStr">
        <is>
          <t>Art de vivre; Plein air</t>
        </is>
      </c>
      <c r="J210" s="36" t="n"/>
      <c r="K210" s="42" t="inlineStr">
        <is>
          <t>Ouvrir</t>
        </is>
      </c>
      <c r="L210" s="38" t="n"/>
      <c r="M210" s="38" t="n"/>
      <c r="N210" s="39" t="n"/>
      <c r="O210" t="inlineStr">
        <is>
          <t>I</t>
        </is>
      </c>
      <c r="P210" t="inlineStr">
        <is>
          <t>Invite disponible : Lasclay a Dragons' Den le 17 septembre</t>
        </is>
      </c>
      <c r="Q210" t="inlineStr">
        <is>
          <t>Bonjour Marie-Christine,</t>
        </is>
      </c>
    </row>
    <row r="211" ht="15" customHeight="1" s="26">
      <c r="A211" s="43" t="inlineStr">
        <is>
          <t>C</t>
        </is>
      </c>
      <c r="B211" s="36" t="inlineStr">
        <is>
          <t>Pierre-Luc</t>
        </is>
      </c>
      <c r="C211" s="36" t="inlineStr">
        <is>
          <t>Trudel</t>
        </is>
      </c>
      <c r="D211" s="37" t="inlineStr">
        <is>
          <t>Rédacteur en chef</t>
        </is>
      </c>
      <c r="E211" s="36" t="inlineStr">
        <is>
          <t>Avantages</t>
        </is>
      </c>
      <c r="F211" s="36" t="inlineStr">
        <is>
          <t>pierre-luc.trudel@groupecontex.ca</t>
        </is>
      </c>
      <c r="G211" s="36" t="inlineStr">
        <is>
          <t>514 392-2009, poste 170</t>
        </is>
      </c>
      <c r="H211" s="36" t="inlineStr">
        <is>
          <t>Montréal</t>
        </is>
      </c>
      <c r="I211" s="37" t="inlineStr">
        <is>
          <t>Économie</t>
        </is>
      </c>
      <c r="J211" s="36" t="n"/>
      <c r="K211" s="42" t="inlineStr">
        <is>
          <t>Ouvrir</t>
        </is>
      </c>
      <c r="L211" s="38" t="n"/>
      <c r="M211" s="38" t="n"/>
      <c r="N211" s="39" t="n"/>
      <c r="O211" t="inlineStr">
        <is>
          <t>E</t>
        </is>
      </c>
      <c r="P211" t="inlineStr">
        <is>
          <t>Une PME qui a rapatrie sa production, puis en a delocalise une partie</t>
        </is>
      </c>
      <c r="Q211" t="inlineStr">
        <is>
          <t>Bonjour Pierre-Luc,</t>
        </is>
      </c>
    </row>
    <row r="212" ht="15" customHeight="1" s="26">
      <c r="A212" s="43" t="inlineStr">
        <is>
          <t>C</t>
        </is>
      </c>
      <c r="B212" s="36" t="inlineStr">
        <is>
          <t>David</t>
        </is>
      </c>
      <c r="C212" s="36" t="inlineStr">
        <is>
          <t>Turbis</t>
        </is>
      </c>
      <c r="D212" s="37" t="inlineStr">
        <is>
          <t>journaliste / photographe de presse</t>
        </is>
      </c>
      <c r="E212" s="36" t="inlineStr">
        <is>
          <t>C B C (Radio-Canada)</t>
        </is>
      </c>
      <c r="F212" s="36" t="inlineStr">
        <is>
          <t>lagrc2015@gmail.com</t>
        </is>
      </c>
      <c r="G212" s="36" t="n"/>
      <c r="H212" s="36" t="inlineStr">
        <is>
          <t>Montréal</t>
        </is>
      </c>
      <c r="I212" s="37" t="inlineStr">
        <is>
          <t>Art de vivre</t>
        </is>
      </c>
      <c r="J212" s="36" t="n"/>
      <c r="K212" s="42" t="inlineStr">
        <is>
          <t>Ouvrir</t>
        </is>
      </c>
      <c r="L212" s="38" t="n"/>
      <c r="M212" s="38" t="n"/>
      <c r="N212" s="39" t="n"/>
      <c r="O212" t="inlineStr">
        <is>
          <t>I</t>
        </is>
      </c>
      <c r="P212" t="inlineStr">
        <is>
          <t>Invite disponible : Lasclay a Dragons' Den le 17 septembre</t>
        </is>
      </c>
      <c r="Q212" t="inlineStr">
        <is>
          <t>Bonjour David,</t>
        </is>
      </c>
      <c r="R212" t="inlineStr">
        <is>
          <t>Adresse personnelle : individualiser vraiment</t>
        </is>
      </c>
    </row>
    <row r="213" ht="15" customHeight="1" s="26">
      <c r="A213" s="43" t="inlineStr">
        <is>
          <t>C</t>
        </is>
      </c>
      <c r="B213" s="36" t="inlineStr">
        <is>
          <t>Paule</t>
        </is>
      </c>
      <c r="C213" s="36" t="inlineStr">
        <is>
          <t>Vermot-Desroches</t>
        </is>
      </c>
      <c r="D213" s="37" t="inlineStr">
        <is>
          <t>Chroniqueuse</t>
        </is>
      </c>
      <c r="E213" s="36" t="inlineStr">
        <is>
          <t>Le Nouvelliste</t>
        </is>
      </c>
      <c r="F213" s="36" t="inlineStr">
        <is>
          <t>paule.vermot-desroches@lenouvelliste.qc.ca</t>
        </is>
      </c>
      <c r="G213" s="36" t="inlineStr">
        <is>
          <t>819 699-6695</t>
        </is>
      </c>
      <c r="H213" s="36" t="inlineStr">
        <is>
          <t>Mauricie</t>
        </is>
      </c>
      <c r="I213" s="37" t="inlineStr">
        <is>
          <t>Économie</t>
        </is>
      </c>
      <c r="J213" s="36" t="n"/>
      <c r="K213" s="42" t="inlineStr">
        <is>
          <t>Ouvrir</t>
        </is>
      </c>
      <c r="L213" s="38" t="n"/>
      <c r="M213" s="38" t="n"/>
      <c r="N213" s="39" t="n"/>
      <c r="O213" t="inlineStr">
        <is>
          <t>B</t>
        </is>
      </c>
      <c r="P213" t="inlineStr">
        <is>
          <t>Mauricie : Lasclay au premier episode de la 21e saison de Dragons' Den</t>
        </is>
      </c>
      <c r="Q213" t="inlineStr">
        <is>
          <t>Bonjour Paule,</t>
        </is>
      </c>
    </row>
    <row r="214" ht="15" customHeight="1" s="26">
      <c r="A214" s="43" t="inlineStr">
        <is>
          <t>C</t>
        </is>
      </c>
      <c r="B214" s="36" t="inlineStr">
        <is>
          <t>Alexandra</t>
        </is>
      </c>
      <c r="C214" s="36" t="inlineStr">
        <is>
          <t>Viau</t>
        </is>
      </c>
      <c r="D214" s="37" t="inlineStr">
        <is>
          <t>Réalisatrice de balados pour l'Information</t>
        </is>
      </c>
      <c r="E214" s="36" t="inlineStr">
        <is>
          <t>Radio-Canada (Radio - Montréal)</t>
        </is>
      </c>
      <c r="F214" s="36" t="inlineStr">
        <is>
          <t>alexandra.viau@radio-canada.ca</t>
        </is>
      </c>
      <c r="G214" s="36" t="inlineStr">
        <is>
          <t>5144750881</t>
        </is>
      </c>
      <c r="H214" s="36" t="inlineStr">
        <is>
          <t>Montréal</t>
        </is>
      </c>
      <c r="I214" s="37" t="inlineStr">
        <is>
          <t>Environnement</t>
        </is>
      </c>
      <c r="J214" s="36" t="n"/>
      <c r="K214" s="42" t="inlineStr">
        <is>
          <t>Ouvrir</t>
        </is>
      </c>
      <c r="L214" s="38" t="n"/>
      <c r="M214" s="38" t="n"/>
      <c r="N214" s="39" t="n"/>
      <c r="O214" t="inlineStr">
        <is>
          <t>I</t>
        </is>
      </c>
      <c r="P214" t="inlineStr">
        <is>
          <t>Invite disponible : Lasclay a Dragons' Den le 17 septembre</t>
        </is>
      </c>
      <c r="Q214" t="inlineStr">
        <is>
          <t>Bonjour Alexandra,</t>
        </is>
      </c>
    </row>
    <row r="215" ht="15" customHeight="1" s="26">
      <c r="A215" s="43" t="inlineStr">
        <is>
          <t>C</t>
        </is>
      </c>
      <c r="B215" s="36" t="inlineStr">
        <is>
          <t>Raymond</t>
        </is>
      </c>
      <c r="C215" s="36" t="inlineStr">
        <is>
          <t>Viger</t>
        </is>
      </c>
      <c r="D215" s="37" t="inlineStr">
        <is>
          <t>Éditeur</t>
        </is>
      </c>
      <c r="E215" s="36" t="inlineStr">
        <is>
          <t>Reflet de société</t>
        </is>
      </c>
      <c r="F215" s="36" t="inlineStr">
        <is>
          <t>raymondviger@hotmail.com</t>
        </is>
      </c>
      <c r="G215" s="36" t="inlineStr">
        <is>
          <t>5142569000</t>
        </is>
      </c>
      <c r="H215" s="36" t="inlineStr">
        <is>
          <t>Montréal</t>
        </is>
      </c>
      <c r="I215" s="37" t="inlineStr">
        <is>
          <t>Environnement</t>
        </is>
      </c>
      <c r="J215" s="36" t="n"/>
      <c r="K215" s="42" t="inlineStr">
        <is>
          <t>Ouvrir</t>
        </is>
      </c>
      <c r="L215" s="38" t="n"/>
      <c r="M215" s="38" t="n"/>
      <c r="N215" s="39" t="n"/>
      <c r="O215" t="inlineStr">
        <is>
          <t>D</t>
        </is>
      </c>
      <c r="P215" t="inlineStr">
        <is>
          <t>Le monarque, l'asclepiade, et l'idee qu'il faut la rendre payante</t>
        </is>
      </c>
      <c r="Q215" t="inlineStr">
        <is>
          <t>Bonjour Raymond,</t>
        </is>
      </c>
      <c r="R215" t="inlineStr">
        <is>
          <t>Adresse personnelle : individualiser vraiment</t>
        </is>
      </c>
    </row>
    <row r="216" ht="15" customHeight="1" s="26">
      <c r="A216" s="43" t="inlineStr">
        <is>
          <t>C</t>
        </is>
      </c>
      <c r="B216" s="36" t="inlineStr">
        <is>
          <t>Paul Émile</t>
        </is>
      </c>
      <c r="C216" s="36" t="inlineStr">
        <is>
          <t>d'Entremont</t>
        </is>
      </c>
      <c r="D216" s="37" t="inlineStr">
        <is>
          <t>Réalisateur</t>
        </is>
      </c>
      <c r="E216" s="36" t="inlineStr">
        <is>
          <t>Radio-Canada</t>
        </is>
      </c>
      <c r="F216" s="36" t="inlineStr">
        <is>
          <t>paul.emile.dentremont@radio-canada.ca</t>
        </is>
      </c>
      <c r="G216" s="36" t="inlineStr">
        <is>
          <t>6043553941</t>
        </is>
      </c>
      <c r="H216" s="36" t="inlineStr">
        <is>
          <t>Canada anglais</t>
        </is>
      </c>
      <c r="I216" s="37" t="inlineStr">
        <is>
          <t>Économie</t>
        </is>
      </c>
      <c r="J216" s="36" t="n"/>
      <c r="K216" s="42" t="inlineStr">
        <is>
          <t>Ouvrir</t>
        </is>
      </c>
      <c r="L216" s="38" t="n"/>
      <c r="M216" s="38" t="n"/>
      <c r="N216" s="39" t="n"/>
      <c r="O216" t="inlineStr">
        <is>
          <t>B</t>
        </is>
      </c>
      <c r="P216" t="inlineStr">
        <is>
          <t>Canada anglais : Lasclay au premier episode de la 21e saison de Dragons' Den</t>
        </is>
      </c>
      <c r="Q216" t="inlineStr">
        <is>
          <t>Bonjour Paul Émile,</t>
        </is>
      </c>
    </row>
    <row r="217" ht="15" customHeight="1" s="26">
      <c r="A217" s="43" t="inlineStr">
        <is>
          <t>C</t>
        </is>
      </c>
      <c r="B217" s="36" t="inlineStr">
        <is>
          <t>Augustin</t>
        </is>
      </c>
      <c r="C217" s="36" t="inlineStr">
        <is>
          <t>de Baudinière</t>
        </is>
      </c>
      <c r="D217" s="37" t="inlineStr">
        <is>
          <t>Journaliste au pupitre</t>
        </is>
      </c>
      <c r="E217" s="36" t="inlineStr">
        <is>
          <t>Le Devoir</t>
        </is>
      </c>
      <c r="F217" s="36" t="inlineStr">
        <is>
          <t>adebaudiniere@ledevoir.com</t>
        </is>
      </c>
      <c r="G217" s="36" t="inlineStr">
        <is>
          <t>514 985-3416</t>
        </is>
      </c>
      <c r="H217" s="36" t="inlineStr">
        <is>
          <t>Montréal</t>
        </is>
      </c>
      <c r="I217" s="37" t="inlineStr">
        <is>
          <t>Environnement</t>
        </is>
      </c>
      <c r="J217" s="36" t="n"/>
      <c r="K217" s="42" t="inlineStr">
        <is>
          <t>Ouvrir</t>
        </is>
      </c>
      <c r="L217" s="38" t="n"/>
      <c r="M217" s="38" t="n"/>
      <c r="N217" s="39" t="n"/>
      <c r="O217" t="inlineStr">
        <is>
          <t>D</t>
        </is>
      </c>
      <c r="P217" t="inlineStr">
        <is>
          <t>Le monarque, l'asclepiade, et l'idee qu'il faut la rendre payante</t>
        </is>
      </c>
      <c r="Q217" t="inlineStr">
        <is>
          <t>Bonjour Augustin,</t>
        </is>
      </c>
    </row>
    <row r="218" ht="15" customHeight="1" s="26">
      <c r="A218" s="43" t="inlineStr">
        <is>
          <t>C</t>
        </is>
      </c>
      <c r="B218" s="36" t="inlineStr">
        <is>
          <t>Ivan</t>
        </is>
      </c>
      <c r="C218" s="36" t="inlineStr">
        <is>
          <t>de Jacquelin-Dulphe</t>
        </is>
      </c>
      <c r="D218" s="37" t="inlineStr">
        <is>
          <t>Journaliste</t>
        </is>
      </c>
      <c r="E218" s="36" t="inlineStr">
        <is>
          <t>Radio-Canada</t>
        </is>
      </c>
      <c r="F218" s="36" t="inlineStr">
        <is>
          <t>ivan.de.jacquelin-dulphe@radio-canada.ca</t>
        </is>
      </c>
      <c r="G218" s="36" t="n"/>
      <c r="H218" s="36" t="inlineStr">
        <is>
          <t>Montréal</t>
        </is>
      </c>
      <c r="I218" s="37" t="inlineStr">
        <is>
          <t>Environnement</t>
        </is>
      </c>
      <c r="J218" s="36" t="n"/>
      <c r="K218" s="42" t="inlineStr">
        <is>
          <t>Ouvrir</t>
        </is>
      </c>
      <c r="L218" s="38" t="n"/>
      <c r="M218" s="38" t="n"/>
      <c r="N218" s="39" t="n"/>
      <c r="O218" t="inlineStr">
        <is>
          <t>D</t>
        </is>
      </c>
      <c r="P218" t="inlineStr">
        <is>
          <t>Le monarque, l'asclepiade, et l'idee qu'il faut la rendre payante</t>
        </is>
      </c>
      <c r="Q218" t="inlineStr">
        <is>
          <t>Bonjour Ivan,</t>
        </is>
      </c>
    </row>
    <row r="219">
      <c r="A219" t="inlineStr">
        <is>
          <t>A</t>
        </is>
      </c>
      <c r="B219" t="inlineStr">
        <is>
          <t>Jean-Michel</t>
        </is>
      </c>
      <c r="C219" t="inlineStr">
        <is>
          <t>Leprince</t>
        </is>
      </c>
      <c r="D219" t="inlineStr">
        <is>
          <t>Journaliste</t>
        </is>
      </c>
      <c r="E219" t="inlineStr">
        <is>
          <t>Radio-Canada</t>
        </is>
      </c>
      <c r="F219" t="inlineStr">
        <is>
          <t>jean-michel_leprince@radio-canada.ca</t>
        </is>
      </c>
      <c r="H219" t="inlineStr">
        <is>
          <t>Montreal</t>
        </is>
      </c>
      <c r="I219" t="inlineStr">
        <is>
          <t>Agriculture; Environnement; Sciences</t>
        </is>
      </c>
      <c r="N219" t="inlineStr">
        <is>
          <t>Nombreux reportages sur l'asclepiade au Telejournal depuis 2014. Jamais de contact avec Lasclay. Adresse fournie par Gabriel.</t>
        </is>
      </c>
      <c r="O219" t="inlineStr">
        <is>
          <t>J</t>
        </is>
      </c>
      <c r="P219" t="inlineStr">
        <is>
          <t>Vous couvrez l'asclepiade depuis 2014. Il y a une suite.</t>
        </is>
      </c>
      <c r="Q219" t="inlineStr">
        <is>
          <t>Bonjour Jean-Michel,</t>
        </is>
      </c>
    </row>
    <row r="220">
      <c r="A220" t="inlineStr">
        <is>
          <t>B</t>
        </is>
      </c>
      <c r="B220" t="inlineStr">
        <is>
          <t>Antoine</t>
        </is>
      </c>
      <c r="C220" t="inlineStr">
        <is>
          <t>Stab</t>
        </is>
      </c>
      <c r="D220" t="inlineStr">
        <is>
          <t>Journaliste</t>
        </is>
      </c>
      <c r="E220" t="inlineStr">
        <is>
          <t>Espaces</t>
        </is>
      </c>
      <c r="F220" t="inlineStr"/>
      <c r="H220" t="inlineStr">
        <is>
          <t>Montreal</t>
        </is>
      </c>
      <c r="I220" t="inlineStr">
        <is>
          <t>Environnement; Plein air</t>
        </is>
      </c>
      <c r="N220" t="inlineStr">
        <is>
          <t>A signe sur le soyer du Quebec dans Espaces (2015-02-16). Courriel a trouver, et verifier qu'il y est toujours.</t>
        </is>
      </c>
      <c r="O220" t="inlineStr">
        <is>
          <t>J</t>
        </is>
      </c>
      <c r="P220" t="inlineStr">
        <is>
          <t>Vous couvrez l'asclepiade depuis 2015. Il y a une suite.</t>
        </is>
      </c>
      <c r="Q220" t="inlineStr">
        <is>
          <t>Bonjour Antoine,</t>
        </is>
      </c>
      <c r="R220" t="inlineStr">
        <is>
          <t>Courriel introuvable : a chercher avant l'envoi</t>
        </is>
      </c>
    </row>
  </sheetData>
  <autoFilter ref="A1:N218"/>
  <hyperlinks>
    <hyperlink xmlns:r="http://schemas.openxmlformats.org/officeDocument/2006/relationships" ref="K2" display="Ouvrir" r:id="rId1"/>
    <hyperlink xmlns:r="http://schemas.openxmlformats.org/officeDocument/2006/relationships" ref="K3" display="Ouvrir" r:id="rId2"/>
    <hyperlink xmlns:r="http://schemas.openxmlformats.org/officeDocument/2006/relationships" ref="K4" display="Ouvrir" r:id="rId3"/>
    <hyperlink xmlns:r="http://schemas.openxmlformats.org/officeDocument/2006/relationships" ref="K5" display="Ouvrir" r:id="rId4"/>
    <hyperlink xmlns:r="http://schemas.openxmlformats.org/officeDocument/2006/relationships" ref="K6" display="Ouvrir" r:id="rId5"/>
    <hyperlink xmlns:r="http://schemas.openxmlformats.org/officeDocument/2006/relationships" ref="K7" display="Ouvrir" r:id="rId6"/>
    <hyperlink xmlns:r="http://schemas.openxmlformats.org/officeDocument/2006/relationships" ref="K8" display="Ouvrir" r:id="rId7"/>
    <hyperlink xmlns:r="http://schemas.openxmlformats.org/officeDocument/2006/relationships" ref="K9" display="Ouvrir" r:id="rId8"/>
    <hyperlink xmlns:r="http://schemas.openxmlformats.org/officeDocument/2006/relationships" ref="K10" display="Ouvrir" r:id="rId9"/>
    <hyperlink xmlns:r="http://schemas.openxmlformats.org/officeDocument/2006/relationships" ref="K11" display="Ouvrir" r:id="rId10"/>
    <hyperlink xmlns:r="http://schemas.openxmlformats.org/officeDocument/2006/relationships" ref="K12" display="Ouvrir" r:id="rId11"/>
    <hyperlink xmlns:r="http://schemas.openxmlformats.org/officeDocument/2006/relationships" ref="K13" display="Ouvrir" r:id="rId12"/>
    <hyperlink xmlns:r="http://schemas.openxmlformats.org/officeDocument/2006/relationships" ref="K14" display="Ouvrir" r:id="rId13"/>
    <hyperlink xmlns:r="http://schemas.openxmlformats.org/officeDocument/2006/relationships" ref="K15" display="Ouvrir" r:id="rId14"/>
    <hyperlink xmlns:r="http://schemas.openxmlformats.org/officeDocument/2006/relationships" ref="K16" display="Ouvrir" r:id="rId15"/>
    <hyperlink xmlns:r="http://schemas.openxmlformats.org/officeDocument/2006/relationships" ref="K17" display="Ouvrir" r:id="rId16"/>
    <hyperlink xmlns:r="http://schemas.openxmlformats.org/officeDocument/2006/relationships" ref="K18" display="Ouvrir" r:id="rId17"/>
    <hyperlink xmlns:r="http://schemas.openxmlformats.org/officeDocument/2006/relationships" ref="K19" display="Ouvrir" r:id="rId18"/>
    <hyperlink xmlns:r="http://schemas.openxmlformats.org/officeDocument/2006/relationships" ref="K20" display="Ouvrir" r:id="rId19"/>
    <hyperlink xmlns:r="http://schemas.openxmlformats.org/officeDocument/2006/relationships" ref="K21" display="Ouvrir" r:id="rId20"/>
    <hyperlink xmlns:r="http://schemas.openxmlformats.org/officeDocument/2006/relationships" ref="K22" display="Ouvrir" r:id="rId21"/>
    <hyperlink xmlns:r="http://schemas.openxmlformats.org/officeDocument/2006/relationships" ref="K23" display="Ouvrir" r:id="rId22"/>
    <hyperlink xmlns:r="http://schemas.openxmlformats.org/officeDocument/2006/relationships" ref="K24" display="Ouvrir" r:id="rId23"/>
    <hyperlink xmlns:r="http://schemas.openxmlformats.org/officeDocument/2006/relationships" ref="K25" display="Ouvrir" r:id="rId24"/>
    <hyperlink xmlns:r="http://schemas.openxmlformats.org/officeDocument/2006/relationships" ref="K26" display="Ouvrir" r:id="rId25"/>
    <hyperlink xmlns:r="http://schemas.openxmlformats.org/officeDocument/2006/relationships" ref="K27" display="Ouvrir" r:id="rId26"/>
    <hyperlink xmlns:r="http://schemas.openxmlformats.org/officeDocument/2006/relationships" ref="K28" display="Ouvrir" r:id="rId27"/>
    <hyperlink xmlns:r="http://schemas.openxmlformats.org/officeDocument/2006/relationships" ref="K29" display="Ouvrir" r:id="rId28"/>
    <hyperlink xmlns:r="http://schemas.openxmlformats.org/officeDocument/2006/relationships" ref="K30" display="Ouvrir" r:id="rId29"/>
    <hyperlink xmlns:r="http://schemas.openxmlformats.org/officeDocument/2006/relationships" ref="K31" display="Ouvrir" r:id="rId30"/>
    <hyperlink xmlns:r="http://schemas.openxmlformats.org/officeDocument/2006/relationships" ref="K32" display="Ouvrir" r:id="rId31"/>
    <hyperlink xmlns:r="http://schemas.openxmlformats.org/officeDocument/2006/relationships" ref="K33" display="Ouvrir" r:id="rId32"/>
    <hyperlink xmlns:r="http://schemas.openxmlformats.org/officeDocument/2006/relationships" ref="K34" display="Ouvrir" r:id="rId33"/>
    <hyperlink xmlns:r="http://schemas.openxmlformats.org/officeDocument/2006/relationships" ref="K35" display="Ouvrir" r:id="rId34"/>
    <hyperlink xmlns:r="http://schemas.openxmlformats.org/officeDocument/2006/relationships" ref="K36" display="Ouvrir" r:id="rId35"/>
    <hyperlink xmlns:r="http://schemas.openxmlformats.org/officeDocument/2006/relationships" ref="K37" display="Ouvrir" r:id="rId36"/>
    <hyperlink xmlns:r="http://schemas.openxmlformats.org/officeDocument/2006/relationships" ref="K38" display="Ouvrir" r:id="rId37"/>
    <hyperlink xmlns:r="http://schemas.openxmlformats.org/officeDocument/2006/relationships" ref="K39" display="Ouvrir" r:id="rId38"/>
    <hyperlink xmlns:r="http://schemas.openxmlformats.org/officeDocument/2006/relationships" ref="K40" display="Ouvrir" r:id="rId39"/>
    <hyperlink xmlns:r="http://schemas.openxmlformats.org/officeDocument/2006/relationships" ref="K41" display="Ouvrir" r:id="rId40"/>
    <hyperlink xmlns:r="http://schemas.openxmlformats.org/officeDocument/2006/relationships" ref="K42" display="Ouvrir" r:id="rId41"/>
    <hyperlink xmlns:r="http://schemas.openxmlformats.org/officeDocument/2006/relationships" ref="K43" display="Ouvrir" r:id="rId42"/>
    <hyperlink xmlns:r="http://schemas.openxmlformats.org/officeDocument/2006/relationships" ref="K44" display="Ouvrir" r:id="rId43"/>
    <hyperlink xmlns:r="http://schemas.openxmlformats.org/officeDocument/2006/relationships" ref="K45" display="Ouvrir" r:id="rId44"/>
    <hyperlink xmlns:r="http://schemas.openxmlformats.org/officeDocument/2006/relationships" ref="K46" display="Ouvrir" r:id="rId45"/>
    <hyperlink xmlns:r="http://schemas.openxmlformats.org/officeDocument/2006/relationships" ref="K47" display="Ouvrir" r:id="rId46"/>
    <hyperlink xmlns:r="http://schemas.openxmlformats.org/officeDocument/2006/relationships" ref="K48" display="Ouvrir" r:id="rId47"/>
    <hyperlink xmlns:r="http://schemas.openxmlformats.org/officeDocument/2006/relationships" ref="K49" display="Ouvrir" r:id="rId48"/>
    <hyperlink xmlns:r="http://schemas.openxmlformats.org/officeDocument/2006/relationships" ref="K50" display="Ouvrir" r:id="rId49"/>
    <hyperlink xmlns:r="http://schemas.openxmlformats.org/officeDocument/2006/relationships" ref="K51" display="Ouvrir" r:id="rId50"/>
    <hyperlink xmlns:r="http://schemas.openxmlformats.org/officeDocument/2006/relationships" ref="K52" display="Ouvrir" r:id="rId51"/>
    <hyperlink xmlns:r="http://schemas.openxmlformats.org/officeDocument/2006/relationships" ref="K53" display="Ouvrir" r:id="rId52"/>
    <hyperlink xmlns:r="http://schemas.openxmlformats.org/officeDocument/2006/relationships" ref="K54" display="Ouvrir" r:id="rId53"/>
    <hyperlink xmlns:r="http://schemas.openxmlformats.org/officeDocument/2006/relationships" ref="K55" display="Ouvrir" r:id="rId54"/>
    <hyperlink xmlns:r="http://schemas.openxmlformats.org/officeDocument/2006/relationships" ref="K56" display="Ouvrir" r:id="rId55"/>
    <hyperlink xmlns:r="http://schemas.openxmlformats.org/officeDocument/2006/relationships" ref="K57" display="Ouvrir" r:id="rId56"/>
    <hyperlink xmlns:r="http://schemas.openxmlformats.org/officeDocument/2006/relationships" ref="K58" display="Ouvrir" r:id="rId57"/>
    <hyperlink xmlns:r="http://schemas.openxmlformats.org/officeDocument/2006/relationships" ref="K59" display="Ouvrir" r:id="rId58"/>
    <hyperlink xmlns:r="http://schemas.openxmlformats.org/officeDocument/2006/relationships" ref="K60" display="Ouvrir" r:id="rId59"/>
    <hyperlink xmlns:r="http://schemas.openxmlformats.org/officeDocument/2006/relationships" ref="K61" display="Ouvrir" r:id="rId60"/>
    <hyperlink xmlns:r="http://schemas.openxmlformats.org/officeDocument/2006/relationships" ref="K62" display="Ouvrir" r:id="rId61"/>
    <hyperlink xmlns:r="http://schemas.openxmlformats.org/officeDocument/2006/relationships" ref="K63" display="Ouvrir" r:id="rId62"/>
    <hyperlink xmlns:r="http://schemas.openxmlformats.org/officeDocument/2006/relationships" ref="K64" display="Ouvrir" r:id="rId63"/>
    <hyperlink xmlns:r="http://schemas.openxmlformats.org/officeDocument/2006/relationships" ref="K65" display="Ouvrir" r:id="rId64"/>
    <hyperlink xmlns:r="http://schemas.openxmlformats.org/officeDocument/2006/relationships" ref="K66" display="Ouvrir" r:id="rId65"/>
    <hyperlink xmlns:r="http://schemas.openxmlformats.org/officeDocument/2006/relationships" ref="K67" display="Ouvrir" r:id="rId66"/>
    <hyperlink xmlns:r="http://schemas.openxmlformats.org/officeDocument/2006/relationships" ref="K68" display="Ouvrir" r:id="rId67"/>
    <hyperlink xmlns:r="http://schemas.openxmlformats.org/officeDocument/2006/relationships" ref="K69" display="Ouvrir" r:id="rId68"/>
    <hyperlink xmlns:r="http://schemas.openxmlformats.org/officeDocument/2006/relationships" ref="K70" display="Ouvrir" r:id="rId69"/>
    <hyperlink xmlns:r="http://schemas.openxmlformats.org/officeDocument/2006/relationships" ref="K71" display="Ouvrir" r:id="rId70"/>
    <hyperlink xmlns:r="http://schemas.openxmlformats.org/officeDocument/2006/relationships" ref="K72" display="Ouvrir" r:id="rId71"/>
    <hyperlink xmlns:r="http://schemas.openxmlformats.org/officeDocument/2006/relationships" ref="K73" display="Ouvrir" r:id="rId72"/>
    <hyperlink xmlns:r="http://schemas.openxmlformats.org/officeDocument/2006/relationships" ref="K74" display="Ouvrir" r:id="rId73"/>
    <hyperlink xmlns:r="http://schemas.openxmlformats.org/officeDocument/2006/relationships" ref="K75" display="Ouvrir" r:id="rId74"/>
    <hyperlink xmlns:r="http://schemas.openxmlformats.org/officeDocument/2006/relationships" ref="K76" display="Ouvrir" r:id="rId75"/>
    <hyperlink xmlns:r="http://schemas.openxmlformats.org/officeDocument/2006/relationships" ref="K77" display="Ouvrir" r:id="rId76"/>
    <hyperlink xmlns:r="http://schemas.openxmlformats.org/officeDocument/2006/relationships" ref="K78" display="Ouvrir" r:id="rId77"/>
    <hyperlink xmlns:r="http://schemas.openxmlformats.org/officeDocument/2006/relationships" ref="K79" display="Ouvrir" r:id="rId78"/>
    <hyperlink xmlns:r="http://schemas.openxmlformats.org/officeDocument/2006/relationships" ref="K80" display="Ouvrir" r:id="rId79"/>
    <hyperlink xmlns:r="http://schemas.openxmlformats.org/officeDocument/2006/relationships" ref="K81" display="Ouvrir" r:id="rId80"/>
    <hyperlink xmlns:r="http://schemas.openxmlformats.org/officeDocument/2006/relationships" ref="K82" display="Ouvrir" r:id="rId81"/>
    <hyperlink xmlns:r="http://schemas.openxmlformats.org/officeDocument/2006/relationships" ref="K83" display="Ouvrir" r:id="rId82"/>
    <hyperlink xmlns:r="http://schemas.openxmlformats.org/officeDocument/2006/relationships" ref="K84" display="Ouvrir" r:id="rId83"/>
    <hyperlink xmlns:r="http://schemas.openxmlformats.org/officeDocument/2006/relationships" ref="K85" display="Ouvrir" r:id="rId84"/>
    <hyperlink xmlns:r="http://schemas.openxmlformats.org/officeDocument/2006/relationships" ref="K86" display="Ouvrir" r:id="rId85"/>
    <hyperlink xmlns:r="http://schemas.openxmlformats.org/officeDocument/2006/relationships" ref="K87" display="Ouvrir" r:id="rId86"/>
    <hyperlink xmlns:r="http://schemas.openxmlformats.org/officeDocument/2006/relationships" ref="K88" display="Ouvrir" r:id="rId87"/>
    <hyperlink xmlns:r="http://schemas.openxmlformats.org/officeDocument/2006/relationships" ref="K89" display="Ouvrir" r:id="rId88"/>
    <hyperlink xmlns:r="http://schemas.openxmlformats.org/officeDocument/2006/relationships" ref="K90" display="Ouvrir" r:id="rId89"/>
    <hyperlink xmlns:r="http://schemas.openxmlformats.org/officeDocument/2006/relationships" ref="K91" display="Ouvrir" r:id="rId90"/>
    <hyperlink xmlns:r="http://schemas.openxmlformats.org/officeDocument/2006/relationships" ref="K92" display="Ouvrir" r:id="rId91"/>
    <hyperlink xmlns:r="http://schemas.openxmlformats.org/officeDocument/2006/relationships" ref="K93" display="Ouvrir" r:id="rId92"/>
    <hyperlink xmlns:r="http://schemas.openxmlformats.org/officeDocument/2006/relationships" ref="K94" display="Ouvrir" r:id="rId93"/>
    <hyperlink xmlns:r="http://schemas.openxmlformats.org/officeDocument/2006/relationships" ref="K95" display="Ouvrir" r:id="rId94"/>
    <hyperlink xmlns:r="http://schemas.openxmlformats.org/officeDocument/2006/relationships" ref="K96" display="Ouvrir" r:id="rId95"/>
    <hyperlink xmlns:r="http://schemas.openxmlformats.org/officeDocument/2006/relationships" ref="K97" display="Ouvrir" r:id="rId96"/>
    <hyperlink xmlns:r="http://schemas.openxmlformats.org/officeDocument/2006/relationships" ref="K98" display="Ouvrir" r:id="rId97"/>
    <hyperlink xmlns:r="http://schemas.openxmlformats.org/officeDocument/2006/relationships" ref="K99" display="Ouvrir" r:id="rId98"/>
    <hyperlink xmlns:r="http://schemas.openxmlformats.org/officeDocument/2006/relationships" ref="K100" display="Ouvrir" r:id="rId99"/>
    <hyperlink xmlns:r="http://schemas.openxmlformats.org/officeDocument/2006/relationships" ref="K101" display="Ouvrir" r:id="rId100"/>
    <hyperlink xmlns:r="http://schemas.openxmlformats.org/officeDocument/2006/relationships" ref="K102" display="Ouvrir" r:id="rId101"/>
    <hyperlink xmlns:r="http://schemas.openxmlformats.org/officeDocument/2006/relationships" ref="K103" display="Ouvrir" r:id="rId102"/>
    <hyperlink xmlns:r="http://schemas.openxmlformats.org/officeDocument/2006/relationships" ref="K104" display="Ouvrir" r:id="rId103"/>
    <hyperlink xmlns:r="http://schemas.openxmlformats.org/officeDocument/2006/relationships" ref="K105" display="Ouvrir" r:id="rId104"/>
    <hyperlink xmlns:r="http://schemas.openxmlformats.org/officeDocument/2006/relationships" ref="K106" display="Ouvrir" r:id="rId105"/>
    <hyperlink xmlns:r="http://schemas.openxmlformats.org/officeDocument/2006/relationships" ref="K107" display="Ouvrir" r:id="rId106"/>
    <hyperlink xmlns:r="http://schemas.openxmlformats.org/officeDocument/2006/relationships" ref="K108" display="Ouvrir" r:id="rId107"/>
    <hyperlink xmlns:r="http://schemas.openxmlformats.org/officeDocument/2006/relationships" ref="K109" display="Ouvrir" r:id="rId108"/>
    <hyperlink xmlns:r="http://schemas.openxmlformats.org/officeDocument/2006/relationships" ref="K110" display="Ouvrir" r:id="rId109"/>
    <hyperlink xmlns:r="http://schemas.openxmlformats.org/officeDocument/2006/relationships" ref="K111" display="Ouvrir" r:id="rId110"/>
    <hyperlink xmlns:r="http://schemas.openxmlformats.org/officeDocument/2006/relationships" ref="K112" display="Ouvrir" r:id="rId111"/>
    <hyperlink xmlns:r="http://schemas.openxmlformats.org/officeDocument/2006/relationships" ref="K113" display="Ouvrir" r:id="rId112"/>
    <hyperlink xmlns:r="http://schemas.openxmlformats.org/officeDocument/2006/relationships" ref="K114" display="Ouvrir" r:id="rId113"/>
    <hyperlink xmlns:r="http://schemas.openxmlformats.org/officeDocument/2006/relationships" ref="K115" display="Ouvrir" r:id="rId114"/>
    <hyperlink xmlns:r="http://schemas.openxmlformats.org/officeDocument/2006/relationships" ref="K116" display="Ouvrir" r:id="rId115"/>
    <hyperlink xmlns:r="http://schemas.openxmlformats.org/officeDocument/2006/relationships" ref="K117" display="Ouvrir" r:id="rId116"/>
    <hyperlink xmlns:r="http://schemas.openxmlformats.org/officeDocument/2006/relationships" ref="K118" display="Ouvrir" r:id="rId117"/>
    <hyperlink xmlns:r="http://schemas.openxmlformats.org/officeDocument/2006/relationships" ref="K119" display="Ouvrir" r:id="rId118"/>
    <hyperlink xmlns:r="http://schemas.openxmlformats.org/officeDocument/2006/relationships" ref="K120" display="Ouvrir" r:id="rId119"/>
    <hyperlink xmlns:r="http://schemas.openxmlformats.org/officeDocument/2006/relationships" ref="K121" display="Ouvrir" r:id="rId120"/>
    <hyperlink xmlns:r="http://schemas.openxmlformats.org/officeDocument/2006/relationships" ref="K122" display="Ouvrir" r:id="rId121"/>
    <hyperlink xmlns:r="http://schemas.openxmlformats.org/officeDocument/2006/relationships" ref="K123" display="Ouvrir" r:id="rId122"/>
    <hyperlink xmlns:r="http://schemas.openxmlformats.org/officeDocument/2006/relationships" ref="K124" display="Ouvrir" r:id="rId123"/>
    <hyperlink xmlns:r="http://schemas.openxmlformats.org/officeDocument/2006/relationships" ref="K125" display="Ouvrir" r:id="rId124"/>
    <hyperlink xmlns:r="http://schemas.openxmlformats.org/officeDocument/2006/relationships" ref="K126" display="Ouvrir" r:id="rId125"/>
    <hyperlink xmlns:r="http://schemas.openxmlformats.org/officeDocument/2006/relationships" ref="K127" display="Ouvrir" r:id="rId126"/>
    <hyperlink xmlns:r="http://schemas.openxmlformats.org/officeDocument/2006/relationships" ref="K128" display="Ouvrir" r:id="rId127"/>
    <hyperlink xmlns:r="http://schemas.openxmlformats.org/officeDocument/2006/relationships" ref="K129" display="Ouvrir" r:id="rId128"/>
    <hyperlink xmlns:r="http://schemas.openxmlformats.org/officeDocument/2006/relationships" ref="K130" display="Ouvrir" r:id="rId129"/>
    <hyperlink xmlns:r="http://schemas.openxmlformats.org/officeDocument/2006/relationships" ref="K131" display="Ouvrir" r:id="rId130"/>
    <hyperlink xmlns:r="http://schemas.openxmlformats.org/officeDocument/2006/relationships" ref="K132" display="Ouvrir" r:id="rId131"/>
    <hyperlink xmlns:r="http://schemas.openxmlformats.org/officeDocument/2006/relationships" ref="K133" display="Ouvrir" r:id="rId132"/>
    <hyperlink xmlns:r="http://schemas.openxmlformats.org/officeDocument/2006/relationships" ref="K134" display="Ouvrir" r:id="rId133"/>
    <hyperlink xmlns:r="http://schemas.openxmlformats.org/officeDocument/2006/relationships" ref="K135" display="Ouvrir" r:id="rId134"/>
    <hyperlink xmlns:r="http://schemas.openxmlformats.org/officeDocument/2006/relationships" ref="K136" display="Ouvrir" r:id="rId135"/>
    <hyperlink xmlns:r="http://schemas.openxmlformats.org/officeDocument/2006/relationships" ref="K137" display="Ouvrir" r:id="rId136"/>
    <hyperlink xmlns:r="http://schemas.openxmlformats.org/officeDocument/2006/relationships" ref="K138" display="Ouvrir" r:id="rId137"/>
    <hyperlink xmlns:r="http://schemas.openxmlformats.org/officeDocument/2006/relationships" ref="K139" display="Ouvrir" r:id="rId138"/>
    <hyperlink xmlns:r="http://schemas.openxmlformats.org/officeDocument/2006/relationships" ref="K140" display="Ouvrir" r:id="rId139"/>
    <hyperlink xmlns:r="http://schemas.openxmlformats.org/officeDocument/2006/relationships" ref="K141" display="Ouvrir" r:id="rId140"/>
    <hyperlink xmlns:r="http://schemas.openxmlformats.org/officeDocument/2006/relationships" ref="K142" display="Ouvrir" r:id="rId141"/>
    <hyperlink xmlns:r="http://schemas.openxmlformats.org/officeDocument/2006/relationships" ref="K143" display="Ouvrir" r:id="rId142"/>
    <hyperlink xmlns:r="http://schemas.openxmlformats.org/officeDocument/2006/relationships" ref="K144" display="Ouvrir" r:id="rId143"/>
    <hyperlink xmlns:r="http://schemas.openxmlformats.org/officeDocument/2006/relationships" ref="K145" display="Ouvrir" r:id="rId144"/>
    <hyperlink xmlns:r="http://schemas.openxmlformats.org/officeDocument/2006/relationships" ref="K146" display="Ouvrir" r:id="rId145"/>
    <hyperlink xmlns:r="http://schemas.openxmlformats.org/officeDocument/2006/relationships" ref="K147" display="Ouvrir" r:id="rId146"/>
    <hyperlink xmlns:r="http://schemas.openxmlformats.org/officeDocument/2006/relationships" ref="K148" display="Ouvrir" r:id="rId147"/>
    <hyperlink xmlns:r="http://schemas.openxmlformats.org/officeDocument/2006/relationships" ref="K149" display="Ouvrir" r:id="rId148"/>
    <hyperlink xmlns:r="http://schemas.openxmlformats.org/officeDocument/2006/relationships" ref="K150" display="Ouvrir" r:id="rId149"/>
    <hyperlink xmlns:r="http://schemas.openxmlformats.org/officeDocument/2006/relationships" ref="K151" display="Ouvrir" r:id="rId150"/>
    <hyperlink xmlns:r="http://schemas.openxmlformats.org/officeDocument/2006/relationships" ref="K152" display="Ouvrir" r:id="rId151"/>
    <hyperlink xmlns:r="http://schemas.openxmlformats.org/officeDocument/2006/relationships" ref="K153" display="Ouvrir" r:id="rId152"/>
    <hyperlink xmlns:r="http://schemas.openxmlformats.org/officeDocument/2006/relationships" ref="K154" display="Ouvrir" r:id="rId153"/>
    <hyperlink xmlns:r="http://schemas.openxmlformats.org/officeDocument/2006/relationships" ref="K155" display="Ouvrir" r:id="rId154"/>
    <hyperlink xmlns:r="http://schemas.openxmlformats.org/officeDocument/2006/relationships" ref="K156" display="Ouvrir" r:id="rId155"/>
    <hyperlink xmlns:r="http://schemas.openxmlformats.org/officeDocument/2006/relationships" ref="K157" display="Ouvrir" r:id="rId156"/>
    <hyperlink xmlns:r="http://schemas.openxmlformats.org/officeDocument/2006/relationships" ref="K158" display="Ouvrir" r:id="rId157"/>
    <hyperlink xmlns:r="http://schemas.openxmlformats.org/officeDocument/2006/relationships" ref="K159" display="Ouvrir" r:id="rId158"/>
    <hyperlink xmlns:r="http://schemas.openxmlformats.org/officeDocument/2006/relationships" ref="K160" display="Ouvrir" r:id="rId159"/>
    <hyperlink xmlns:r="http://schemas.openxmlformats.org/officeDocument/2006/relationships" ref="K161" display="Ouvrir" r:id="rId160"/>
    <hyperlink xmlns:r="http://schemas.openxmlformats.org/officeDocument/2006/relationships" ref="K162" display="Ouvrir" r:id="rId161"/>
    <hyperlink xmlns:r="http://schemas.openxmlformats.org/officeDocument/2006/relationships" ref="K163" display="Ouvrir" r:id="rId162"/>
    <hyperlink xmlns:r="http://schemas.openxmlformats.org/officeDocument/2006/relationships" ref="K164" display="Ouvrir" r:id="rId163"/>
    <hyperlink xmlns:r="http://schemas.openxmlformats.org/officeDocument/2006/relationships" ref="K165" display="Ouvrir" r:id="rId164"/>
    <hyperlink xmlns:r="http://schemas.openxmlformats.org/officeDocument/2006/relationships" ref="K166" display="Ouvrir" r:id="rId165"/>
    <hyperlink xmlns:r="http://schemas.openxmlformats.org/officeDocument/2006/relationships" ref="K167" display="Ouvrir" r:id="rId166"/>
    <hyperlink xmlns:r="http://schemas.openxmlformats.org/officeDocument/2006/relationships" ref="K168" display="Ouvrir" r:id="rId167"/>
    <hyperlink xmlns:r="http://schemas.openxmlformats.org/officeDocument/2006/relationships" ref="K169" display="Ouvrir" r:id="rId168"/>
    <hyperlink xmlns:r="http://schemas.openxmlformats.org/officeDocument/2006/relationships" ref="K170" display="Ouvrir" r:id="rId169"/>
    <hyperlink xmlns:r="http://schemas.openxmlformats.org/officeDocument/2006/relationships" ref="K171" display="Ouvrir" r:id="rId170"/>
    <hyperlink xmlns:r="http://schemas.openxmlformats.org/officeDocument/2006/relationships" ref="K172" display="Ouvrir" r:id="rId171"/>
    <hyperlink xmlns:r="http://schemas.openxmlformats.org/officeDocument/2006/relationships" ref="K173" display="Ouvrir" r:id="rId172"/>
    <hyperlink xmlns:r="http://schemas.openxmlformats.org/officeDocument/2006/relationships" ref="K174" display="Ouvrir" r:id="rId173"/>
    <hyperlink xmlns:r="http://schemas.openxmlformats.org/officeDocument/2006/relationships" ref="K175" display="Ouvrir" r:id="rId174"/>
    <hyperlink xmlns:r="http://schemas.openxmlformats.org/officeDocument/2006/relationships" ref="K176" display="Ouvrir" r:id="rId175"/>
    <hyperlink xmlns:r="http://schemas.openxmlformats.org/officeDocument/2006/relationships" ref="K177" display="Ouvrir" r:id="rId176"/>
    <hyperlink xmlns:r="http://schemas.openxmlformats.org/officeDocument/2006/relationships" ref="K178" display="Ouvrir" r:id="rId177"/>
    <hyperlink xmlns:r="http://schemas.openxmlformats.org/officeDocument/2006/relationships" ref="K179" display="Ouvrir" r:id="rId178"/>
    <hyperlink xmlns:r="http://schemas.openxmlformats.org/officeDocument/2006/relationships" ref="K180" display="Ouvrir" r:id="rId179"/>
    <hyperlink xmlns:r="http://schemas.openxmlformats.org/officeDocument/2006/relationships" ref="K181" display="Ouvrir" r:id="rId180"/>
    <hyperlink xmlns:r="http://schemas.openxmlformats.org/officeDocument/2006/relationships" ref="K182" display="Ouvrir" r:id="rId181"/>
    <hyperlink xmlns:r="http://schemas.openxmlformats.org/officeDocument/2006/relationships" ref="K183" display="Ouvrir" r:id="rId182"/>
    <hyperlink xmlns:r="http://schemas.openxmlformats.org/officeDocument/2006/relationships" ref="K184" display="Ouvrir" r:id="rId183"/>
    <hyperlink xmlns:r="http://schemas.openxmlformats.org/officeDocument/2006/relationships" ref="K185" display="Ouvrir" r:id="rId184"/>
    <hyperlink xmlns:r="http://schemas.openxmlformats.org/officeDocument/2006/relationships" ref="K186" display="Ouvrir" r:id="rId185"/>
    <hyperlink xmlns:r="http://schemas.openxmlformats.org/officeDocument/2006/relationships" ref="K187" display="Ouvrir" r:id="rId186"/>
    <hyperlink xmlns:r="http://schemas.openxmlformats.org/officeDocument/2006/relationships" ref="K188" display="Ouvrir" r:id="rId187"/>
    <hyperlink xmlns:r="http://schemas.openxmlformats.org/officeDocument/2006/relationships" ref="K189" display="Ouvrir" r:id="rId188"/>
    <hyperlink xmlns:r="http://schemas.openxmlformats.org/officeDocument/2006/relationships" ref="K190" display="Ouvrir" r:id="rId189"/>
    <hyperlink xmlns:r="http://schemas.openxmlformats.org/officeDocument/2006/relationships" ref="K191" display="Ouvrir" r:id="rId190"/>
    <hyperlink xmlns:r="http://schemas.openxmlformats.org/officeDocument/2006/relationships" ref="K192" display="Ouvrir" r:id="rId191"/>
    <hyperlink xmlns:r="http://schemas.openxmlformats.org/officeDocument/2006/relationships" ref="K193" display="Ouvrir" r:id="rId192"/>
    <hyperlink xmlns:r="http://schemas.openxmlformats.org/officeDocument/2006/relationships" ref="K194" display="Ouvrir" r:id="rId193"/>
    <hyperlink xmlns:r="http://schemas.openxmlformats.org/officeDocument/2006/relationships" ref="K195" display="Ouvrir" r:id="rId194"/>
    <hyperlink xmlns:r="http://schemas.openxmlformats.org/officeDocument/2006/relationships" ref="K196" display="Ouvrir" r:id="rId195"/>
    <hyperlink xmlns:r="http://schemas.openxmlformats.org/officeDocument/2006/relationships" ref="K197" display="Ouvrir" r:id="rId196"/>
    <hyperlink xmlns:r="http://schemas.openxmlformats.org/officeDocument/2006/relationships" ref="K198" display="Ouvrir" r:id="rId197"/>
    <hyperlink xmlns:r="http://schemas.openxmlformats.org/officeDocument/2006/relationships" ref="K199" display="Ouvrir" r:id="rId198"/>
    <hyperlink xmlns:r="http://schemas.openxmlformats.org/officeDocument/2006/relationships" ref="K200" display="Ouvrir" r:id="rId199"/>
    <hyperlink xmlns:r="http://schemas.openxmlformats.org/officeDocument/2006/relationships" ref="K201" display="Ouvrir" r:id="rId200"/>
    <hyperlink xmlns:r="http://schemas.openxmlformats.org/officeDocument/2006/relationships" ref="K202" display="Ouvrir" r:id="rId201"/>
    <hyperlink xmlns:r="http://schemas.openxmlformats.org/officeDocument/2006/relationships" ref="K203" display="Ouvrir" r:id="rId202"/>
    <hyperlink xmlns:r="http://schemas.openxmlformats.org/officeDocument/2006/relationships" ref="K204" display="Ouvrir" r:id="rId203"/>
    <hyperlink xmlns:r="http://schemas.openxmlformats.org/officeDocument/2006/relationships" ref="K205" display="Ouvrir" r:id="rId204"/>
    <hyperlink xmlns:r="http://schemas.openxmlformats.org/officeDocument/2006/relationships" ref="K206" display="Ouvrir" r:id="rId205"/>
    <hyperlink xmlns:r="http://schemas.openxmlformats.org/officeDocument/2006/relationships" ref="K207" display="Ouvrir" r:id="rId206"/>
    <hyperlink xmlns:r="http://schemas.openxmlformats.org/officeDocument/2006/relationships" ref="K208" display="Ouvrir" r:id="rId207"/>
    <hyperlink xmlns:r="http://schemas.openxmlformats.org/officeDocument/2006/relationships" ref="K209" display="Ouvrir" r:id="rId208"/>
    <hyperlink xmlns:r="http://schemas.openxmlformats.org/officeDocument/2006/relationships" ref="K210" display="Ouvrir" r:id="rId209"/>
    <hyperlink xmlns:r="http://schemas.openxmlformats.org/officeDocument/2006/relationships" ref="K211" display="Ouvrir" r:id="rId210"/>
    <hyperlink xmlns:r="http://schemas.openxmlformats.org/officeDocument/2006/relationships" ref="K212" display="Ouvrir" r:id="rId211"/>
    <hyperlink xmlns:r="http://schemas.openxmlformats.org/officeDocument/2006/relationships" ref="K213" display="Ouvrir" r:id="rId212"/>
    <hyperlink xmlns:r="http://schemas.openxmlformats.org/officeDocument/2006/relationships" ref="K214" display="Ouvrir" r:id="rId213"/>
    <hyperlink xmlns:r="http://schemas.openxmlformats.org/officeDocument/2006/relationships" ref="K215" display="Ouvrir" r:id="rId214"/>
    <hyperlink xmlns:r="http://schemas.openxmlformats.org/officeDocument/2006/relationships" ref="K216" display="Ouvrir" r:id="rId215"/>
    <hyperlink xmlns:r="http://schemas.openxmlformats.org/officeDocument/2006/relationships" ref="K217" display="Ouvrir" r:id="rId216"/>
    <hyperlink xmlns:r="http://schemas.openxmlformats.org/officeDocument/2006/relationships" ref="K218" display="Ouvrir" r:id="rId21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style="26" min="1" max="1"/>
    <col width="12" customWidth="1" style="26" min="2" max="2"/>
    <col width="62" customWidth="1" style="26" min="3" max="3"/>
  </cols>
  <sheetData>
    <row r="1">
      <c r="A1" s="44" t="inlineStr">
        <is>
          <t>Répartition des angles</t>
        </is>
      </c>
    </row>
    <row r="3">
      <c r="A3" s="45" t="inlineStr">
        <is>
          <t>ANGLE</t>
        </is>
      </c>
      <c r="B3" t="inlineStr">
        <is>
          <t>CONTACTS</t>
        </is>
      </c>
      <c r="C3" s="46" t="inlineStr">
        <is>
          <t>CE QUE LE COURRIEL DOIT FAIRE</t>
        </is>
      </c>
    </row>
    <row r="4">
      <c r="A4" s="45" t="inlineStr">
        <is>
          <t>Angle A</t>
        </is>
      </c>
      <c r="B4" t="n">
        <v>34</v>
      </c>
      <c r="C4" s="46" t="inlineStr">
        <is>
          <t>Citer son article par titre et année dès la première phrase, puis dire ce qui a changé, y compris ce qui a mal tourné.</t>
        </is>
      </c>
    </row>
    <row r="5">
      <c r="A5" s="45" t="inlineStr">
        <is>
          <t>Angle B</t>
        </is>
      </c>
      <c r="B5" t="n">
        <v>35</v>
      </c>
      <c r="C5" s="46" t="inlineStr">
        <is>
          <t>Nommer la région dans l'objet. Un pupitre régional trie par toponyme.</t>
        </is>
      </c>
    </row>
    <row r="6">
      <c r="A6" s="45" t="inlineStr">
        <is>
          <t>Angle C</t>
        </is>
      </c>
      <c r="B6" t="n">
        <v>32</v>
      </c>
      <c r="C6" s="46" t="inlineStr">
        <is>
          <t>Poser la vraie question : y a-t-il enfin un acheteur stable au bout du champ. Ne rien promettre en volumes.</t>
        </is>
      </c>
    </row>
    <row r="7">
      <c r="A7" s="45" t="inlineStr">
        <is>
          <t>Angle D</t>
        </is>
      </c>
      <c r="B7" t="n">
        <v>45</v>
      </c>
      <c r="C7" s="46" t="inlineStr">
        <is>
          <t>Conservation par le débouché économique. Dire soi-même qu'un achat ne sauve pas un papillon.</t>
        </is>
      </c>
    </row>
    <row r="8">
      <c r="A8" s="45" t="inlineStr">
        <is>
          <t>Angle E</t>
        </is>
      </c>
      <c r="B8" t="n">
        <v>26</v>
      </c>
      <c r="C8" s="46" t="inlineStr">
        <is>
          <t>Rapatrier puis délocaliser en partie. Aucun chiffre financier sans autorisation de Gabriel.</t>
        </is>
      </c>
    </row>
    <row r="9">
      <c r="A9" s="45" t="inlineStr">
        <is>
          <t>Angle F</t>
        </is>
      </c>
      <c r="B9" t="n">
        <v>20</v>
      </c>
      <c r="C9" s="46" t="inlineStr">
        <is>
          <t>Offrir de tester. Le 10 % plus isolant que le duvet est un repère de laboratoire, jamais une promesse.</t>
        </is>
      </c>
    </row>
    <row r="10">
      <c r="A10" s="45" t="inlineStr">
        <is>
          <t>Angle G</t>
        </is>
      </c>
      <c r="B10" t="n">
        <v>21</v>
      </c>
      <c r="C10" s="46" t="inlineStr">
        <is>
          <t>Le contraste visuel : gousse, soie, manteau porté. Jamais « fabriqué au Québec » sur un produit fini.</t>
        </is>
      </c>
    </row>
    <row r="11">
      <c r="A11" s="47" t="inlineStr">
        <is>
          <t>Angle H</t>
        </is>
      </c>
      <c r="C11" s="46" t="inlineStr">
        <is>
          <t>Commencer par la plante, pas par le Québec. Lasclay arrive en troisième phrase.</t>
        </is>
      </c>
    </row>
    <row r="12">
      <c r="A12" s="45" t="inlineStr">
        <is>
          <t>Angle I</t>
        </is>
      </c>
      <c r="B12" t="n">
        <v>39</v>
      </c>
      <c r="C12" s="46" t="inlineStr">
        <is>
          <t>Trois lignes. Disponibilité en clair. Ils veulent un invité, pas un communiqué.</t>
        </is>
      </c>
    </row>
    <row r="13">
      <c r="A13" s="45" t="inlineStr">
        <is>
          <t>Angle J</t>
        </is>
      </c>
      <c r="B13" t="n">
        <v>2</v>
      </c>
      <c r="C13" s="46" t="inlineStr">
        <is>
          <t>Citer sa propre couverture de la filière, pas celle de Lasclay. Il connaît le dossier mieux que la moyenne : ne rien lui expliquer qu'il sait déjà.</t>
        </is>
      </c>
    </row>
    <row r="15">
      <c r="A15" s="44" t="inlineStr">
        <is>
          <t>Vagues du chiffrier</t>
        </is>
      </c>
    </row>
    <row r="17">
      <c r="A17" s="45" t="inlineStr">
        <is>
          <t>Maintenant → 2 sept.</t>
        </is>
      </c>
      <c r="B17" t="inlineStr">
        <is>
          <t>34</t>
        </is>
      </c>
      <c r="C17" s="46" t="inlineStr">
        <is>
          <t>Liste chaude. Écrits à la main, un par un. Angle A sauf exceptions.</t>
        </is>
      </c>
    </row>
    <row r="18">
      <c r="A18" s="45" t="inlineStr">
        <is>
          <t>3 → 5 sept.</t>
        </is>
      </c>
      <c r="B18" t="inlineStr">
        <is>
          <t>71</t>
        </is>
      </c>
      <c r="C18" s="46" t="inlineStr">
        <is>
          <t>Froide A. Environ 60 messages par jour, première ligne réellement différente.</t>
        </is>
      </c>
    </row>
    <row r="19">
      <c r="A19" s="45" t="inlineStr">
        <is>
          <t>8 → 9 sept.</t>
        </is>
      </c>
      <c r="B19" t="inlineStr">
        <is>
          <t>53</t>
        </is>
      </c>
      <c r="C19" s="46" t="inlineStr">
        <is>
          <t>Froide B.</t>
        </is>
      </c>
    </row>
    <row r="20">
      <c r="A20" s="45" t="inlineStr">
        <is>
          <t>12 sept., 9 h</t>
        </is>
      </c>
      <c r="B20" t="inlineStr">
        <is>
          <t>—</t>
        </is>
      </c>
      <c r="C20" s="46" t="inlineStr">
        <is>
          <t>Ouverture de la prévente. Klaviyo vers les clients, jamais vers ces listes.</t>
        </is>
      </c>
    </row>
    <row r="21">
      <c r="A21" s="45" t="inlineStr">
        <is>
          <t>15 → 16 sept.</t>
        </is>
      </c>
      <c r="B21" t="inlineStr">
        <is>
          <t>93</t>
        </is>
      </c>
      <c r="C21" s="46" t="inlineStr">
        <is>
          <t>Froide C, seulement s'il reste du souffle.</t>
        </is>
      </c>
    </row>
    <row r="22">
      <c r="A22" s="45" t="inlineStr">
        <is>
          <t>17 sept., 20 h</t>
        </is>
      </c>
      <c r="B22" t="inlineStr">
        <is>
          <t>—</t>
        </is>
      </c>
      <c r="C22" s="46" t="inlineStr">
        <is>
          <t>Diffusion. Relance le 18 au matin : la confidentialité tombe, le sujet devient vérifiable.</t>
        </is>
      </c>
    </row>
    <row r="24">
      <c r="A24" s="44" t="inlineStr">
        <is>
          <t>Règles d'envoi</t>
        </is>
      </c>
    </row>
    <row r="26">
      <c r="A26" s="47" t="inlineStr">
        <is>
          <t>Canal</t>
        </is>
      </c>
      <c r="C26" s="46" t="inlineStr">
        <is>
          <t>Missive depuis media@lasclay.com, un message à la fois. Jamais Klaviyo : des rebonds sur adresses froides dégraderaient mail.lasclay.com, le domaine qui doit livrer l'infolettre de prévente.</t>
        </is>
      </c>
    </row>
    <row r="27">
      <c r="A27" s="47" t="inlineStr">
        <is>
          <t>Suivi</t>
        </is>
      </c>
      <c r="C27" s="46" t="inlineStr">
        <is>
          <t>Désactiver le suivi des ouvertures et des clics. Le pixel n'apporte rien et plusieurs journalistes le voient mal.</t>
        </is>
      </c>
    </row>
    <row r="28">
      <c r="A28" s="47" t="inlineStr">
        <is>
          <t>Rythme</t>
        </is>
      </c>
      <c r="C28" s="46" t="inlineStr">
        <is>
          <t>Environ 60 par jour. 217 messages quasi identiques en dix minutes se comportent comme du publipostage aux yeux des filtres.</t>
        </is>
      </c>
    </row>
    <row r="29">
      <c r="A29" s="47" t="inlineStr">
        <is>
          <t>LCAP</t>
        </is>
      </c>
      <c r="C29" s="46" t="inlineStr">
        <is>
          <t>Sollicitation de presse ciblée vers une adresse professionnelle publiée : couvert. Les adresses personnelles de pigistes exigent un message vraiment individualisé.</t>
        </is>
      </c>
    </row>
    <row r="30">
      <c r="A30" s="47" t="inlineStr">
        <is>
          <t>Interdit</t>
        </is>
      </c>
      <c r="C30" s="46" t="inlineStr">
        <is>
          <t>Ajouter ces contacts à une liste de diffusion, leur envoyer une infolettre, ou écrire sans objet journalistique réel.</t>
        </is>
      </c>
    </row>
    <row r="31">
      <c r="A31" s="47" t="inlineStr">
        <is>
          <t>CBC</t>
        </is>
      </c>
      <c r="C31" s="46" t="inlineStr">
        <is>
          <t>Rien sur l'issue avant le 17. Aucun logo ni « vu à Dragons' Den ». alicia.chirrey@cbc.ca et kylee.habrowski@cbc.ca sont la production, pas la salle de nouvelles : ne pas les solliciter.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6" customWidth="1" style="25" min="1" max="1"/>
    <col width="14" customWidth="1" style="25" min="2" max="4"/>
  </cols>
  <sheetData>
    <row r="1" ht="17.35" customHeight="1" s="26">
      <c r="A1" s="48" t="inlineStr">
        <is>
          <t>Sommaire et suivi</t>
        </is>
      </c>
    </row>
    <row r="2" ht="15" customHeight="1" s="26">
      <c r="A2" s="49" t="inlineStr">
        <is>
          <t>Les nombres se recalculent seuls à mesure que tu remplis la colonne « Envoyé le ».</t>
        </is>
      </c>
    </row>
    <row r="4" ht="15" customHeight="1" s="26">
      <c r="A4" s="50" t="inlineStr">
        <is>
          <t>LISTE</t>
        </is>
      </c>
      <c r="B4" s="50" t="inlineStr">
        <is>
          <t>CONTACTS</t>
        </is>
      </c>
      <c r="C4" s="50" t="inlineStr">
        <is>
          <t>ENVOYÉS</t>
        </is>
      </c>
      <c r="D4" s="50" t="inlineStr">
        <is>
          <t>RESTANTS</t>
        </is>
      </c>
    </row>
    <row r="5" ht="15" customHeight="1" s="26">
      <c r="A5" s="51" t="inlineStr">
        <is>
          <t>Chaude — vague 1</t>
        </is>
      </c>
      <c r="B5" s="51">
        <f>COUNTA('Liste chaude (34)'!C2:C35)</f>
        <v/>
      </c>
      <c r="C5" s="51">
        <f>COUNTA('Liste chaude (34)'!H2:H35)</f>
        <v/>
      </c>
      <c r="D5" s="51">
        <f>B5-C5</f>
        <v/>
      </c>
    </row>
    <row r="6" ht="15" customHeight="1" s="26">
      <c r="A6" s="51" t="inlineStr">
        <is>
          <t>Froide A — vague 2</t>
        </is>
      </c>
      <c r="B6" s="51">
        <f>COUNTIF('Liste froide FPJQ (217)'!A2:A218,"A")</f>
        <v/>
      </c>
      <c r="C6" s="51">
        <f>COUNTIFS('Liste froide FPJQ (217)'!A2:A218,"A",'Liste froide FPJQ (217)'!L2:L218,"&lt;&gt;")</f>
        <v/>
      </c>
      <c r="D6" s="51">
        <f>B6-C6</f>
        <v/>
      </c>
    </row>
    <row r="7" ht="15" customHeight="1" s="26">
      <c r="A7" s="51" t="inlineStr">
        <is>
          <t>Froide B — vague 3</t>
        </is>
      </c>
      <c r="B7" s="51">
        <f>COUNTIF('Liste froide FPJQ (217)'!A2:A218,"B")</f>
        <v/>
      </c>
      <c r="C7" s="51">
        <f>COUNTIFS('Liste froide FPJQ (217)'!A2:A218,"B",'Liste froide FPJQ (217)'!L2:L218,"&lt;&gt;")</f>
        <v/>
      </c>
      <c r="D7" s="51">
        <f>B7-C7</f>
        <v/>
      </c>
    </row>
    <row r="8" ht="15" customHeight="1" s="26">
      <c r="A8" s="51" t="inlineStr">
        <is>
          <t>Froide C — vague 4</t>
        </is>
      </c>
      <c r="B8" s="51">
        <f>COUNTIF('Liste froide FPJQ (217)'!A2:A218,"C")</f>
        <v/>
      </c>
      <c r="C8" s="51">
        <f>COUNTIFS('Liste froide FPJQ (217)'!A2:A218,"C",'Liste froide FPJQ (217)'!L2:L218,"&lt;&gt;")</f>
        <v/>
      </c>
      <c r="D8" s="51">
        <f>B8-C8</f>
        <v/>
      </c>
    </row>
    <row r="9" ht="15" customHeight="1" s="26">
      <c r="A9" s="52" t="inlineStr">
        <is>
          <t>TOTAL</t>
        </is>
      </c>
      <c r="B9" s="52">
        <f>SUM(B5:B8)</f>
        <v/>
      </c>
      <c r="C9" s="52">
        <f>SUM(C5:C8)</f>
        <v/>
      </c>
      <c r="D9" s="52">
        <f>SUM(D5:D8)</f>
        <v/>
      </c>
    </row>
    <row r="11" ht="15" customHeight="1" s="26">
      <c r="A11" s="53" t="inlineStr">
        <is>
          <t>Calendrier suggéré</t>
        </is>
      </c>
    </row>
    <row r="12" ht="15" customHeight="1" s="26">
      <c r="A12" s="54" t="inlineStr">
        <is>
          <t>Maintenant → 2 sept.</t>
        </is>
      </c>
      <c r="B12" s="55" t="inlineStr">
        <is>
          <t>Liste chaude (34) — message écrit à la main, un par un.</t>
        </is>
      </c>
    </row>
    <row r="13" ht="15" customHeight="1" s="26">
      <c r="A13" s="54" t="inlineStr">
        <is>
          <t>3 → 5 sept.</t>
        </is>
      </c>
      <c r="B13" s="55" t="inlineStr">
        <is>
          <t>Froide A (71) — les plus susceptibles de couvrir.</t>
        </is>
      </c>
    </row>
    <row r="14" ht="15" customHeight="1" s="26">
      <c r="A14" s="54" t="inlineStr">
        <is>
          <t>8 → 9 sept.</t>
        </is>
      </c>
      <c r="B14" s="55" t="inlineStr">
        <is>
          <t>Froide B (53).</t>
        </is>
      </c>
    </row>
    <row r="15" ht="15" customHeight="1" s="26">
      <c r="A15" s="54" t="inlineStr">
        <is>
          <t>12 sept., 9 h</t>
        </is>
      </c>
      <c r="B15" s="55" t="inlineStr">
        <is>
          <t>Ouverture de la prévente. Infolettre clients par Klaviyo, pas les médias.</t>
        </is>
      </c>
    </row>
    <row r="16" ht="15" customHeight="1" s="26">
      <c r="A16" s="54" t="inlineStr">
        <is>
          <t>15 → 16 sept.</t>
        </is>
      </c>
      <c r="B16" s="55" t="inlineStr">
        <is>
          <t>Froide C (93), seulement s'il reste du souffle.</t>
        </is>
      </c>
    </row>
    <row r="17" ht="15" customHeight="1" s="26">
      <c r="A17" s="54" t="inlineStr">
        <is>
          <t>17 sept., 20 h</t>
        </is>
      </c>
      <c r="B17" s="55" t="inlineStr">
        <is>
          <t>Diffusion Dragons' Den (CBC / CBC Gem). Relance le lendemain matin auprès de ceux qui ont répondu.</t>
        </is>
      </c>
    </row>
  </sheetData>
  <mergeCells count="6">
    <mergeCell ref="B14:D14"/>
    <mergeCell ref="B17:D17"/>
    <mergeCell ref="B13:D13"/>
    <mergeCell ref="B12:D12"/>
    <mergeCell ref="B15:D15"/>
    <mergeCell ref="B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2026-08-31T17:37:19Z</dcterms:created>
  <dcterms:modified xsi:type="dcterms:W3CDTF">2026-08-31T18:36:23Z</dcterms:modified>
  <cp:revision>0</cp:revision>
</cp:coreProperties>
</file>