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Mode d'emploi" sheetId="1" state="visible" r:id="rId1"/>
    <sheet name="Liste chaude (34)" sheetId="2" state="visible" r:id="rId2"/>
    <sheet name="Liste froide FPJQ (217)" sheetId="3" state="visible" r:id="rId3"/>
    <sheet name="Plan d'envoi" sheetId="4" state="visible" r:id="rId4"/>
    <sheet name="Sommaire" sheetId="5" state="visible" r:id="rId5"/>
    <sheet name="Ajouts FR, RC et TVA" sheetId="6" state="visible" r:id="rId6"/>
    <sheet name="Presse anglophone" sheetId="7" state="visible" r:id="rId7"/>
  </sheets>
  <definedNames>
    <definedName name="_xlnm._FilterDatabase" localSheetId="1" hidden="1">'Liste chaude (34)'!$A$1:$J$35</definedName>
    <definedName name="_xlnm._FilterDatabase" localSheetId="2" hidden="1">'Liste froide FPJQ (217)'!$A$1:$N$218</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1F3B2C"/>
      <sz val="16"/>
    </font>
    <font>
      <name val="Arial"/>
      <charset val="1"/>
      <family val="0"/>
      <color rgb="FF555555"/>
      <sz val="10"/>
    </font>
    <font>
      <name val="Arial"/>
      <charset val="1"/>
      <family val="0"/>
      <b val="1"/>
      <color rgb="FF1F3B2C"/>
      <sz val="11"/>
    </font>
    <font>
      <name val="Arial"/>
      <charset val="1"/>
      <family val="0"/>
      <b val="1"/>
      <sz val="10"/>
    </font>
    <font>
      <name val="Arial"/>
      <charset val="1"/>
      <family val="0"/>
      <sz val="10"/>
    </font>
    <font>
      <name val="Arial"/>
      <charset val="1"/>
      <family val="0"/>
      <b val="1"/>
      <color rgb="FFB00020"/>
      <sz val="10"/>
    </font>
    <font>
      <name val="Arial"/>
      <charset val="1"/>
      <family val="0"/>
      <b val="1"/>
      <color rgb="FFFFFFFF"/>
      <sz val="10"/>
    </font>
    <font>
      <name val="Arial"/>
      <family val="2"/>
      <sz val="10"/>
    </font>
    <font>
      <name val="Arial"/>
      <charset val="1"/>
      <family val="0"/>
      <color rgb="FF0563C1"/>
      <sz val="10"/>
      <u val="single"/>
    </font>
    <font>
      <name val="Arial"/>
      <charset val="1"/>
      <family val="0"/>
      <b val="1"/>
      <color rgb="FF1F3B2C"/>
      <sz val="14"/>
    </font>
    <font>
      <b val="1"/>
      <sz val="10"/>
    </font>
    <font>
      <b val="1"/>
      <sz val="11"/>
    </font>
    <font>
      <sz val="10"/>
    </font>
    <font>
      <b val="1"/>
      <color rgb="00FFFFFF"/>
    </font>
  </fonts>
  <fills count="8">
    <fill>
      <patternFill/>
    </fill>
    <fill>
      <patternFill patternType="gray125"/>
    </fill>
    <fill>
      <patternFill patternType="solid">
        <fgColor rgb="FFFFF9C4"/>
        <bgColor rgb="FFFFFF99"/>
      </patternFill>
    </fill>
    <fill>
      <patternFill patternType="solid">
        <fgColor rgb="FF1F3B2C"/>
        <bgColor rgb="FF333300"/>
      </patternFill>
    </fill>
    <fill>
      <patternFill patternType="solid">
        <fgColor rgb="FFE8F1EA"/>
        <bgColor rgb="FFFFFFFF"/>
      </patternFill>
    </fill>
    <fill>
      <patternFill patternType="solid">
        <fgColor rgb="00E3EADF"/>
      </patternFill>
    </fill>
    <fill>
      <patternFill patternType="solid">
        <fgColor rgb="00FFF2CC"/>
      </patternFill>
    </fill>
    <fill>
      <patternFill patternType="solid">
        <fgColor rgb="001F38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2" borderId="0" applyAlignment="1" pivotButton="0" quotePrefix="0" xfId="0">
      <alignment horizontal="general" vertical="bottom"/>
    </xf>
    <xf numFmtId="0" fontId="10" fillId="3" borderId="0" applyAlignment="1" pivotButton="0" quotePrefix="0" xfId="0">
      <alignment horizontal="left" vertical="center" wrapText="1"/>
    </xf>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2" borderId="1" applyAlignment="1" pivotButton="0" quotePrefix="0" xfId="0">
      <alignment horizontal="general" vertical="top"/>
    </xf>
    <xf numFmtId="0" fontId="8" fillId="2" borderId="1" applyAlignment="1" pivotButton="0" quotePrefix="0" xfId="0">
      <alignment horizontal="general" vertical="top" wrapText="1"/>
    </xf>
    <xf numFmtId="0" fontId="9" fillId="0" borderId="1" applyAlignment="1" pivotButton="0" quotePrefix="0" xfId="0">
      <alignment horizontal="general" vertical="top"/>
    </xf>
    <xf numFmtId="0" fontId="7" fillId="4" borderId="1" applyAlignment="1" pivotButton="0" quotePrefix="0" xfId="0">
      <alignment horizontal="general" vertical="top"/>
    </xf>
    <xf numFmtId="0" fontId="12" fillId="0" borderId="1" applyAlignment="1" pivotButton="0" quotePrefix="0" xfId="0">
      <alignment horizontal="general" vertical="top"/>
    </xf>
    <xf numFmtId="0" fontId="7" fillId="0" borderId="1" applyAlignment="1" pivotButton="0" quotePrefix="0" xfId="0">
      <alignment horizontal="general" vertical="top"/>
    </xf>
    <xf numFmtId="0" fontId="13" fillId="0" borderId="0" applyAlignment="1" pivotButton="0" quotePrefix="0" xfId="0">
      <alignment horizontal="general" vertical="bottom"/>
    </xf>
    <xf numFmtId="0" fontId="5" fillId="0" borderId="0" applyAlignment="1" pivotButton="0" quotePrefix="0" xfId="0">
      <alignment horizontal="general" vertical="bottom"/>
    </xf>
    <xf numFmtId="0" fontId="10" fillId="3" borderId="1" applyAlignment="1" pivotButton="0" quotePrefix="0" xfId="0">
      <alignment horizontal="general" vertical="center"/>
    </xf>
    <xf numFmtId="0" fontId="8" fillId="0" borderId="1" applyAlignment="1" pivotButton="0" quotePrefix="0" xfId="0">
      <alignment horizontal="general" vertical="center"/>
    </xf>
    <xf numFmtId="0" fontId="7" fillId="0" borderId="1" applyAlignment="1" pivotButton="0" quotePrefix="0" xfId="0">
      <alignment horizontal="general"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2" borderId="0" applyAlignment="1" pivotButton="0" quotePrefix="0" xfId="0">
      <alignment horizontal="general" vertical="bottom"/>
    </xf>
    <xf numFmtId="0" fontId="10" fillId="3" borderId="0" applyAlignment="1" pivotButton="0" quotePrefix="0" xfId="0">
      <alignment horizontal="left" vertical="center" wrapText="1"/>
    </xf>
    <xf numFmtId="0" fontId="14" fillId="5" borderId="0" pivotButton="0" quotePrefix="0" xfId="0"/>
    <xf numFmtId="0" fontId="8" fillId="0" borderId="1" applyAlignment="1" pivotButton="0" quotePrefix="0" xfId="0">
      <alignment horizontal="general" vertical="top"/>
    </xf>
    <xf numFmtId="0" fontId="8" fillId="0" borderId="1" applyAlignment="1" pivotButton="0" quotePrefix="0" xfId="0">
      <alignment horizontal="general" vertical="top" wrapText="1"/>
    </xf>
    <xf numFmtId="0" fontId="8" fillId="2" borderId="1" applyAlignment="1" pivotButton="0" quotePrefix="0" xfId="0">
      <alignment horizontal="general" vertical="top"/>
    </xf>
    <xf numFmtId="0" fontId="8" fillId="2" borderId="1" applyAlignment="1" pivotButton="0" quotePrefix="0" xfId="0">
      <alignment horizontal="general" vertical="top" wrapText="1"/>
    </xf>
    <xf numFmtId="0" fontId="9" fillId="0" borderId="1" applyAlignment="1" pivotButton="0" quotePrefix="0" xfId="0">
      <alignment horizontal="general" vertical="top"/>
    </xf>
    <xf numFmtId="0" fontId="7" fillId="4" borderId="1" applyAlignment="1" pivotButton="0" quotePrefix="0" xfId="0">
      <alignment horizontal="general" vertical="top"/>
    </xf>
    <xf numFmtId="0" fontId="12" fillId="0" borderId="1" applyAlignment="1" pivotButton="0" quotePrefix="0" xfId="0">
      <alignment horizontal="general" vertical="top"/>
    </xf>
    <xf numFmtId="0" fontId="7" fillId="0" borderId="1" applyAlignment="1" pivotButton="0" quotePrefix="0" xfId="0">
      <alignment horizontal="general" vertical="top"/>
    </xf>
    <xf numFmtId="0" fontId="15" fillId="0" borderId="0" pivotButton="0" quotePrefix="0" xfId="0"/>
    <xf numFmtId="0" fontId="16" fillId="0" borderId="0" pivotButton="0" quotePrefix="0" xfId="0"/>
    <xf numFmtId="0" fontId="0" fillId="0" borderId="0" applyAlignment="1" pivotButton="0" quotePrefix="0" xfId="0">
      <alignment vertical="top" wrapText="1"/>
    </xf>
    <xf numFmtId="0" fontId="14" fillId="0" borderId="0" pivotButton="0" quotePrefix="0" xfId="0"/>
    <xf numFmtId="0" fontId="13" fillId="0" borderId="0" applyAlignment="1" pivotButton="0" quotePrefix="0" xfId="0">
      <alignment horizontal="general" vertical="bottom"/>
    </xf>
    <xf numFmtId="0" fontId="5" fillId="0" borderId="0" applyAlignment="1" pivotButton="0" quotePrefix="0" xfId="0">
      <alignment horizontal="general" vertical="bottom"/>
    </xf>
    <xf numFmtId="0" fontId="10" fillId="3" borderId="1" applyAlignment="1" pivotButton="0" quotePrefix="0" xfId="0">
      <alignment horizontal="general" vertical="center"/>
    </xf>
    <xf numFmtId="0" fontId="8" fillId="0" borderId="1" applyAlignment="1" pivotButton="0" quotePrefix="0" xfId="0">
      <alignment horizontal="general" vertical="center"/>
    </xf>
    <xf numFmtId="0" fontId="7" fillId="0" borderId="1" applyAlignment="1" pivotButton="0" quotePrefix="0" xfId="0">
      <alignment horizontal="general"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4" fillId="6" borderId="0" pivotButton="0" quotePrefix="0" xfId="0"/>
    <xf numFmtId="0" fontId="17" fillId="7"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B2C"/>
          <bgColor rgb="FF000000"/>
        </patternFill>
      </fill>
    </dxf>
    <dxf>
      <fill>
        <patternFill patternType="solid">
          <bgColor rgb="FF000000"/>
        </patternFill>
      </fill>
    </dxf>
    <dxf>
      <fill>
        <patternFill patternType="solid">
          <fgColor rgb="FFFFFFFF"/>
          <bgColor rgb="FF000000"/>
        </patternFill>
      </fill>
    </dxf>
    <dxf>
      <fill>
        <patternFill patternType="solid">
          <fgColor rgb="FFB00020"/>
          <bgColor rgb="FF000000"/>
        </patternFill>
      </fill>
    </dxf>
    <dxf>
      <fill>
        <patternFill patternType="solid">
          <fgColor rgb="FFFFF9C4"/>
          <bgColor rgb="FF000000"/>
        </patternFill>
      </fill>
    </dxf>
    <dxf>
      <fill>
        <patternFill patternType="solid">
          <fgColor rgb="FFE8F1EA"/>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C0C0C0"/>
      <rgbColor rgb="FF808080"/>
      <rgbColor rgb="FF9999FF"/>
      <rgbColor rgb="FF993366"/>
      <rgbColor rgb="FFFFF9C4"/>
      <rgbColor rgb="FFE8F1EA"/>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2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Unknown Author</author>
  </authors>
  <commentList>
    <comment ref="G1" authorId="0" shapeId="0">
      <text>
        <t>« Correspondance confirmée » : le fil existe dans Missive, à la date indiquée.
« Non recoupée dans Missive » : adresse fournie par Gabriel, aucune trace dans la boîte LAS Media. Aucun test de rebond n'a été fait sur l'une ou l'autre.</t>
      </text>
    </comment>
  </commentList>
</comments>
</file>

<file path=xl/comments/comment2.xml><?xml version="1.0" encoding="utf-8"?>
<comments xmlns="http://schemas.openxmlformats.org/spreadsheetml/2006/main">
  <authors>
    <author>Unknown Author</author>
  </authors>
  <commentList>
    <comment ref="A1" authorId="0" shapeId="0">
      <text>
        <t>A = 3 secteurs pertinents ou plus · B = 2 · C = 1.
Secteurs retenus : agriculture, environnement, économie, consommation, sciences, plein air, art de vivre, mode.</t>
      </text>
    </comment>
    <comment ref="E1" authorId="0" shapeId="0">
      <text>
        <t>« Pigiste » = aucune organisation principale déclarée au répertoire FPJQ. Ces contacts utilisent souvent une adresse personnelle : à réserver à un message vraiment individualisé.</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fpjq.org/fr/repertoire-des-membres/detail/id/impbp2gZR2jytCPaO6RczcNk" TargetMode="External" Id="rId1" /><Relationship Type="http://schemas.openxmlformats.org/officeDocument/2006/relationships/hyperlink" Target="https://www.fpjq.org/fr/repertoire-des-membres/detail/id/natGAVpy4EIELu792r16gUXp" TargetMode="External" Id="rId2" /><Relationship Type="http://schemas.openxmlformats.org/officeDocument/2006/relationships/hyperlink" Target="https://www.fpjq.org/fr/repertoire-des-membres/detail/id/nat8rqeH1mVM6i5GXyKgDg8D" TargetMode="External" Id="rId3" /><Relationship Type="http://schemas.openxmlformats.org/officeDocument/2006/relationships/hyperlink" Target="https://www.fpjq.org/fr/repertoire-des-membres/detail/id/nat2LGmoxdtpiD9x3DK7HOVj" TargetMode="External" Id="rId4" /><Relationship Type="http://schemas.openxmlformats.org/officeDocument/2006/relationships/hyperlink" Target="https://www.fpjq.org/fr/repertoire-des-membres/detail/id/imp5HMfV25XKxHj4DPG9h4mr" TargetMode="External" Id="rId5" /><Relationship Type="http://schemas.openxmlformats.org/officeDocument/2006/relationships/hyperlink" Target="https://www.fpjq.org/fr/repertoire-des-membres/detail/id/impnufXSzy8GOEUqzeKPcifU" TargetMode="External" Id="rId6" /><Relationship Type="http://schemas.openxmlformats.org/officeDocument/2006/relationships/hyperlink" Target="https://www.fpjq.org/fr/repertoire-des-membres/detail/id/impWnRA2X9QXXn9NbbkzY7yT" TargetMode="External" Id="rId7" /><Relationship Type="http://schemas.openxmlformats.org/officeDocument/2006/relationships/hyperlink" Target="https://www.fpjq.org/fr/repertoire-des-membres/detail/id/natD7SemLh5L0JwQkBND3Gre" TargetMode="External" Id="rId8" /><Relationship Type="http://schemas.openxmlformats.org/officeDocument/2006/relationships/hyperlink" Target="https://www.fpjq.org/fr/repertoire-des-membres/detail/id/impI041oh8mrkZrvsG9J5bt0" TargetMode="External" Id="rId9" /><Relationship Type="http://schemas.openxmlformats.org/officeDocument/2006/relationships/hyperlink" Target="https://www.fpjq.org/fr/repertoire-des-membres/detail/id/natbyqbw4i8kcpp8CJFKSOnI" TargetMode="External" Id="rId10" /><Relationship Type="http://schemas.openxmlformats.org/officeDocument/2006/relationships/hyperlink" Target="https://www.fpjq.org/fr/repertoire-des-membres/detail/id/natPhRurqggzkzOXrv0wZD0P" TargetMode="External" Id="rId11" /><Relationship Type="http://schemas.openxmlformats.org/officeDocument/2006/relationships/hyperlink" Target="https://www.fpjq.org/fr/repertoire-des-membres/detail/id/natRXAV3VqPBLWIRxNz0j2Dj" TargetMode="External" Id="rId12" /><Relationship Type="http://schemas.openxmlformats.org/officeDocument/2006/relationships/hyperlink" Target="https://www.fpjq.org/fr/repertoire-des-membres/detail/id/natR91tLLN2thqnS3t9uAjjU" TargetMode="External" Id="rId13" /><Relationship Type="http://schemas.openxmlformats.org/officeDocument/2006/relationships/hyperlink" Target="https://www.fpjq.org/fr/repertoire-des-membres/detail/id/natLTuW8wLtIvVvP0ts36OQf" TargetMode="External" Id="rId14" /><Relationship Type="http://schemas.openxmlformats.org/officeDocument/2006/relationships/hyperlink" Target="https://www.fpjq.org/fr/repertoire-des-membres/detail/id/natTccWa5uMGFrwK3HWU3RBU" TargetMode="External" Id="rId15" /><Relationship Type="http://schemas.openxmlformats.org/officeDocument/2006/relationships/hyperlink" Target="https://www.fpjq.org/fr/repertoire-des-membres/detail/id/impyfb2TevvJoqh2TN17NMSE" TargetMode="External" Id="rId16" /><Relationship Type="http://schemas.openxmlformats.org/officeDocument/2006/relationships/hyperlink" Target="https://www.fpjq.org/fr/repertoire-des-membres/detail/id/nat0y7gWXDTvNeG6HGiuQwJh" TargetMode="External" Id="rId17" /><Relationship Type="http://schemas.openxmlformats.org/officeDocument/2006/relationships/hyperlink" Target="https://www.fpjq.org/fr/repertoire-des-membres/detail/id/natGPwa706ihSKSQSw4MjSbf" TargetMode="External" Id="rId18" /><Relationship Type="http://schemas.openxmlformats.org/officeDocument/2006/relationships/hyperlink" Target="https://www.fpjq.org/fr/repertoire-des-membres/detail/id/impbbnsFq3CH67hI6N6VTOPB" TargetMode="External" Id="rId19" /><Relationship Type="http://schemas.openxmlformats.org/officeDocument/2006/relationships/hyperlink" Target="https://www.fpjq.org/fr/repertoire-des-membres/detail/id/natP4WsEwQNQQaR1Js1WBSYk" TargetMode="External" Id="rId20" /><Relationship Type="http://schemas.openxmlformats.org/officeDocument/2006/relationships/hyperlink" Target="https://www.fpjq.org/fr/repertoire-des-membres/detail/id/natuUnwjpAdD868MTC0IVe59" TargetMode="External" Id="rId21" /><Relationship Type="http://schemas.openxmlformats.org/officeDocument/2006/relationships/hyperlink" Target="https://www.fpjq.org/fr/repertoire-des-membres/detail/id/natNsZuNtja2zRjxtcBTfQKk" TargetMode="External" Id="rId22" /><Relationship Type="http://schemas.openxmlformats.org/officeDocument/2006/relationships/hyperlink" Target="https://www.fpjq.org/fr/repertoire-des-membres/detail/id/natTSfSrvQxJnbekda7iBz80" TargetMode="External" Id="rId23" /><Relationship Type="http://schemas.openxmlformats.org/officeDocument/2006/relationships/hyperlink" Target="https://www.fpjq.org/fr/repertoire-des-membres/detail/id/impD3wnRZ6KXw6KLb01d2qMx" TargetMode="External" Id="rId24" /><Relationship Type="http://schemas.openxmlformats.org/officeDocument/2006/relationships/hyperlink" Target="https://www.fpjq.org/fr/repertoire-des-membres/detail/id/impAX5b15602i3A3HvUcUK3I" TargetMode="External" Id="rId25" /><Relationship Type="http://schemas.openxmlformats.org/officeDocument/2006/relationships/hyperlink" Target="https://www.fpjq.org/fr/repertoire-des-membres/detail/id/impH8VMM5TJhpp7rPNh14voc" TargetMode="External" Id="rId26" /><Relationship Type="http://schemas.openxmlformats.org/officeDocument/2006/relationships/hyperlink" Target="https://www.fpjq.org/fr/repertoire-des-membres/detail/id/impo7Iwyc2qjGzckMKz7lRQO" TargetMode="External" Id="rId27" /><Relationship Type="http://schemas.openxmlformats.org/officeDocument/2006/relationships/hyperlink" Target="https://www.fpjq.org/fr/repertoire-des-membres/detail/id/imph7B1KPV5rMDbZqDxMTcbQ" TargetMode="External" Id="rId28" /><Relationship Type="http://schemas.openxmlformats.org/officeDocument/2006/relationships/hyperlink" Target="https://www.fpjq.org/fr/repertoire-des-membres/detail/id/natLIUdUU1PBO2OK6Lqg07rF" TargetMode="External" Id="rId29" /><Relationship Type="http://schemas.openxmlformats.org/officeDocument/2006/relationships/hyperlink" Target="https://www.fpjq.org/fr/repertoire-des-membres/detail/id/natIADcAyaDxfEe2JBukBFjM" TargetMode="External" Id="rId30" /><Relationship Type="http://schemas.openxmlformats.org/officeDocument/2006/relationships/hyperlink" Target="https://www.fpjq.org/fr/repertoire-des-membres/detail/id/imp2VhuHVlwxvgVQ0qTj42jh" TargetMode="External" Id="rId31" /><Relationship Type="http://schemas.openxmlformats.org/officeDocument/2006/relationships/hyperlink" Target="https://www.fpjq.org/fr/repertoire-des-membres/detail/id/natgdn9L16ScEEDY6MrWgO68" TargetMode="External" Id="rId32" /><Relationship Type="http://schemas.openxmlformats.org/officeDocument/2006/relationships/hyperlink" Target="https://www.fpjq.org/fr/repertoire-des-membres/detail/id/natyQdSh6Za1UnE6HeWMyoWK" TargetMode="External" Id="rId33" /><Relationship Type="http://schemas.openxmlformats.org/officeDocument/2006/relationships/hyperlink" Target="https://www.fpjq.org/fr/repertoire-des-membres/detail/id/natP7udFnAQaEhCvC12LmaJ4" TargetMode="External" Id="rId34" /><Relationship Type="http://schemas.openxmlformats.org/officeDocument/2006/relationships/hyperlink" Target="https://www.fpjq.org/fr/repertoire-des-membres/detail/id/impWlwGdZ3EAJYFDadyHWD2J" TargetMode="External" Id="rId35" /><Relationship Type="http://schemas.openxmlformats.org/officeDocument/2006/relationships/hyperlink" Target="https://www.fpjq.org/fr/repertoire-des-membres/detail/id/natXWz1CpeFjxEcI7HngCvmI" TargetMode="External" Id="rId36" /><Relationship Type="http://schemas.openxmlformats.org/officeDocument/2006/relationships/hyperlink" Target="https://www.fpjq.org/fr/repertoire-des-membres/detail/id/natD9mqtm4HhW4OMsHTjbYya" TargetMode="External" Id="rId37" /><Relationship Type="http://schemas.openxmlformats.org/officeDocument/2006/relationships/hyperlink" Target="https://www.fpjq.org/fr/repertoire-des-membres/detail/id/nat9lQKPTcITSVJVSTBMoXZy" TargetMode="External" Id="rId38" /><Relationship Type="http://schemas.openxmlformats.org/officeDocument/2006/relationships/hyperlink" Target="https://www.fpjq.org/fr/repertoire-des-membres/detail/id/impaOmh57rq4QL7hEbKykqtN" TargetMode="External" Id="rId39" /><Relationship Type="http://schemas.openxmlformats.org/officeDocument/2006/relationships/hyperlink" Target="https://www.fpjq.org/fr/repertoire-des-membres/detail/id/impgss9grPG5fPOz1gwLLQwA" TargetMode="External" Id="rId40" /><Relationship Type="http://schemas.openxmlformats.org/officeDocument/2006/relationships/hyperlink" Target="https://www.fpjq.org/fr/repertoire-des-membres/detail/id/impVP8hKYiZkLRJVLUZJenE4" TargetMode="External" Id="rId41" /><Relationship Type="http://schemas.openxmlformats.org/officeDocument/2006/relationships/hyperlink" Target="https://www.fpjq.org/fr/repertoire-des-membres/detail/id/impbyGaSWIslqlbLUFO87iUH" TargetMode="External" Id="rId42" /><Relationship Type="http://schemas.openxmlformats.org/officeDocument/2006/relationships/hyperlink" Target="https://www.fpjq.org/fr/repertoire-des-membres/detail/id/natxspTOyPHnoma99PMActAW" TargetMode="External" Id="rId43" /><Relationship Type="http://schemas.openxmlformats.org/officeDocument/2006/relationships/hyperlink" Target="https://www.fpjq.org/fr/repertoire-des-membres/detail/id/natGOh59FHGqFmwfHwKUFV3z" TargetMode="External" Id="rId44" /><Relationship Type="http://schemas.openxmlformats.org/officeDocument/2006/relationships/hyperlink" Target="https://www.fpjq.org/fr/repertoire-des-membres/detail/id/nat0b5yk8FoRMm8LBnQISiaY" TargetMode="External" Id="rId45" /><Relationship Type="http://schemas.openxmlformats.org/officeDocument/2006/relationships/hyperlink" Target="https://www.fpjq.org/fr/repertoire-des-membres/detail/id/natm68mZkmAc5pTuGxlvdzQJ" TargetMode="External" Id="rId46" /><Relationship Type="http://schemas.openxmlformats.org/officeDocument/2006/relationships/hyperlink" Target="https://www.fpjq.org/fr/repertoire-des-membres/detail/id/impbJAaZIlHKxxVon5ff8ZwT" TargetMode="External" Id="rId47" /><Relationship Type="http://schemas.openxmlformats.org/officeDocument/2006/relationships/hyperlink" Target="https://www.fpjq.org/fr/repertoire-des-membres/detail/id/nat5K7PrR00rvXeoXverk419" TargetMode="External" Id="rId48" /><Relationship Type="http://schemas.openxmlformats.org/officeDocument/2006/relationships/hyperlink" Target="https://www.fpjq.org/fr/repertoire-des-membres/detail/id/impuOLvNgjRRx5SltEWmwCCf" TargetMode="External" Id="rId49" /><Relationship Type="http://schemas.openxmlformats.org/officeDocument/2006/relationships/hyperlink" Target="https://www.fpjq.org/fr/repertoire-des-membres/detail/id/natBUbfohYcrCvaN3mCg72fN" TargetMode="External" Id="rId50" /><Relationship Type="http://schemas.openxmlformats.org/officeDocument/2006/relationships/hyperlink" Target="https://www.fpjq.org/fr/repertoire-des-membres/detail/id/natxQfCesnYhrXySKgFjuGYE" TargetMode="External" Id="rId51" /><Relationship Type="http://schemas.openxmlformats.org/officeDocument/2006/relationships/hyperlink" Target="https://www.fpjq.org/fr/repertoire-des-membres/detail/id/natFuKnkj90iByL2kj40YKE7" TargetMode="External" Id="rId52" /><Relationship Type="http://schemas.openxmlformats.org/officeDocument/2006/relationships/hyperlink" Target="https://www.fpjq.org/fr/repertoire-des-membres/detail/id/natPNjZ7NkM5pOj4GwxCwzFz" TargetMode="External" Id="rId53" /><Relationship Type="http://schemas.openxmlformats.org/officeDocument/2006/relationships/hyperlink" Target="https://www.fpjq.org/fr/repertoire-des-membres/detail/id/imp2OnmkAg2a3HKIsUV3XBp6" TargetMode="External" Id="rId54" /><Relationship Type="http://schemas.openxmlformats.org/officeDocument/2006/relationships/hyperlink" Target="https://www.fpjq.org/fr/repertoire-des-membres/detail/id/impbPJTV90g7Ar6zUpBkhN8u" TargetMode="External" Id="rId55" /><Relationship Type="http://schemas.openxmlformats.org/officeDocument/2006/relationships/hyperlink" Target="https://www.fpjq.org/fr/repertoire-des-membres/detail/id/natkxkuzL6MPgPtF367cEX69" TargetMode="External" Id="rId56" /><Relationship Type="http://schemas.openxmlformats.org/officeDocument/2006/relationships/hyperlink" Target="https://www.fpjq.org/fr/repertoire-des-membres/detail/id/natdgjQYTDT4egjTRIKI21PO" TargetMode="External" Id="rId57" /><Relationship Type="http://schemas.openxmlformats.org/officeDocument/2006/relationships/hyperlink" Target="https://www.fpjq.org/fr/repertoire-des-membres/detail/id/natZL2EDDqpH0l3yqHMvvJ3G" TargetMode="External" Id="rId58" /><Relationship Type="http://schemas.openxmlformats.org/officeDocument/2006/relationships/hyperlink" Target="https://www.fpjq.org/fr/repertoire-des-membres/detail/id/nat3ww5qX1IfV55WxZpKC88v" TargetMode="External" Id="rId59" /><Relationship Type="http://schemas.openxmlformats.org/officeDocument/2006/relationships/hyperlink" Target="https://www.fpjq.org/fr/repertoire-des-membres/detail/id/natC670N3KujcI7I8XtmragM" TargetMode="External" Id="rId60" /><Relationship Type="http://schemas.openxmlformats.org/officeDocument/2006/relationships/hyperlink" Target="https://www.fpjq.org/fr/repertoire-des-membres/detail/id/natXpw0vzTEqvqq7X60vB5Kq" TargetMode="External" Id="rId61" /><Relationship Type="http://schemas.openxmlformats.org/officeDocument/2006/relationships/hyperlink" Target="https://www.fpjq.org/fr/repertoire-des-membres/detail/id/impTsh3AA68BCQI19DeC1KEW" TargetMode="External" Id="rId62" /><Relationship Type="http://schemas.openxmlformats.org/officeDocument/2006/relationships/hyperlink" Target="https://www.fpjq.org/fr/repertoire-des-membres/detail/id/natH1yprrOj13wYESkm0QofE" TargetMode="External" Id="rId63" /><Relationship Type="http://schemas.openxmlformats.org/officeDocument/2006/relationships/hyperlink" Target="https://www.fpjq.org/fr/repertoire-des-membres/detail/id/impvuOSqKoBZXVJeugsAxidh" TargetMode="External" Id="rId64" /><Relationship Type="http://schemas.openxmlformats.org/officeDocument/2006/relationships/hyperlink" Target="https://www.fpjq.org/fr/repertoire-des-membres/detail/id/impkmvF6glOxdxnv7XNER7Fb" TargetMode="External" Id="rId65" /><Relationship Type="http://schemas.openxmlformats.org/officeDocument/2006/relationships/hyperlink" Target="https://www.fpjq.org/fr/repertoire-des-membres/detail/id/natuveyY1dLSS8ON1VJIyqB2" TargetMode="External" Id="rId66" /><Relationship Type="http://schemas.openxmlformats.org/officeDocument/2006/relationships/hyperlink" Target="https://www.fpjq.org/fr/repertoire-des-membres/detail/id/natkEehA14sBZIjLwHVXGeyD" TargetMode="External" Id="rId67" /><Relationship Type="http://schemas.openxmlformats.org/officeDocument/2006/relationships/hyperlink" Target="https://www.fpjq.org/fr/repertoire-des-membres/detail/id/nat6gRCxN0JtKRSa6EAZYfdg" TargetMode="External" Id="rId68" /><Relationship Type="http://schemas.openxmlformats.org/officeDocument/2006/relationships/hyperlink" Target="https://www.fpjq.org/fr/repertoire-des-membres/detail/id/impehYFtNuoM4LPg3nASeO7V" TargetMode="External" Id="rId69" /><Relationship Type="http://schemas.openxmlformats.org/officeDocument/2006/relationships/hyperlink" Target="https://www.fpjq.org/fr/repertoire-des-membres/detail/id/nat9zwgltNroRcaRdCJNPBMS" TargetMode="External" Id="rId70" /><Relationship Type="http://schemas.openxmlformats.org/officeDocument/2006/relationships/hyperlink" Target="https://www.fpjq.org/fr/repertoire-des-membres/detail/id/imp5KfiEtqkXHY5XsmSXcn13" TargetMode="External" Id="rId71" /><Relationship Type="http://schemas.openxmlformats.org/officeDocument/2006/relationships/hyperlink" Target="https://www.fpjq.org/fr/repertoire-des-membres/detail/id/natDRMpHGorbY7iAXYRAuNa6" TargetMode="External" Id="rId72" /><Relationship Type="http://schemas.openxmlformats.org/officeDocument/2006/relationships/hyperlink" Target="https://www.fpjq.org/fr/repertoire-des-membres/detail/id/imp7fnFHHswrQInG9WRowQ8B" TargetMode="External" Id="rId73" /><Relationship Type="http://schemas.openxmlformats.org/officeDocument/2006/relationships/hyperlink" Target="https://www.fpjq.org/fr/repertoire-des-membres/detail/id/nat4eKGbr2YRrvFOUfd5nsN3" TargetMode="External" Id="rId74" /><Relationship Type="http://schemas.openxmlformats.org/officeDocument/2006/relationships/hyperlink" Target="https://www.fpjq.org/fr/repertoire-des-membres/detail/id/natcI3MbwznxlLHuRwYk5btv" TargetMode="External" Id="rId75" /><Relationship Type="http://schemas.openxmlformats.org/officeDocument/2006/relationships/hyperlink" Target="https://www.fpjq.org/fr/repertoire-des-membres/detail/id/impdx2IxeFcD2zcZ9a7Fe85D" TargetMode="External" Id="rId76" /><Relationship Type="http://schemas.openxmlformats.org/officeDocument/2006/relationships/hyperlink" Target="https://www.fpjq.org/fr/repertoire-des-membres/detail/id/impQEaOeE7Vj3ple3N3rePqF" TargetMode="External" Id="rId77" /><Relationship Type="http://schemas.openxmlformats.org/officeDocument/2006/relationships/hyperlink" Target="https://www.fpjq.org/fr/repertoire-des-membres/detail/id/impUIY3B2NHD80D70lWYPzdG" TargetMode="External" Id="rId78" /><Relationship Type="http://schemas.openxmlformats.org/officeDocument/2006/relationships/hyperlink" Target="https://www.fpjq.org/fr/repertoire-des-membres/detail/id/impu5mwdxgrRCFM9Yx54aYII" TargetMode="External" Id="rId79" /><Relationship Type="http://schemas.openxmlformats.org/officeDocument/2006/relationships/hyperlink" Target="https://www.fpjq.org/fr/repertoire-des-membres/detail/id/impNOPzNMkAi9rSEDwUOPdE8" TargetMode="External" Id="rId80" /><Relationship Type="http://schemas.openxmlformats.org/officeDocument/2006/relationships/hyperlink" Target="https://www.fpjq.org/fr/repertoire-des-membres/detail/id/impXbjO4SNoN4vycMDpY7i0k" TargetMode="External" Id="rId81" /><Relationship Type="http://schemas.openxmlformats.org/officeDocument/2006/relationships/hyperlink" Target="https://www.fpjq.org/fr/repertoire-des-membres/detail/id/impKyWds70koqlOL0fOFisdO" TargetMode="External" Id="rId82" /><Relationship Type="http://schemas.openxmlformats.org/officeDocument/2006/relationships/hyperlink" Target="https://www.fpjq.org/fr/repertoire-des-membres/detail/id/impLGdVpefNgfmMJckcSMouL" TargetMode="External" Id="rId83" /><Relationship Type="http://schemas.openxmlformats.org/officeDocument/2006/relationships/hyperlink" Target="https://www.fpjq.org/fr/repertoire-des-membres/detail/id/impC1FMFo0fe1hvstxKmTAiC" TargetMode="External" Id="rId84" /><Relationship Type="http://schemas.openxmlformats.org/officeDocument/2006/relationships/hyperlink" Target="https://www.fpjq.org/fr/repertoire-des-membres/detail/id/impylPDE0wmzl4cRz4VHrSD1" TargetMode="External" Id="rId85" /><Relationship Type="http://schemas.openxmlformats.org/officeDocument/2006/relationships/hyperlink" Target="https://www.fpjq.org/fr/repertoire-des-membres/detail/id/impliirdn2UtmMheuORpIS0o" TargetMode="External" Id="rId86" /><Relationship Type="http://schemas.openxmlformats.org/officeDocument/2006/relationships/hyperlink" Target="https://www.fpjq.org/fr/repertoire-des-membres/detail/id/impYSUo0bOxvz1ytGNHviA2t" TargetMode="External" Id="rId87" /><Relationship Type="http://schemas.openxmlformats.org/officeDocument/2006/relationships/hyperlink" Target="https://www.fpjq.org/fr/repertoire-des-membres/detail/id/natg5bMAhcmFHVreIMSQH5RH" TargetMode="External" Id="rId88" /><Relationship Type="http://schemas.openxmlformats.org/officeDocument/2006/relationships/hyperlink" Target="https://www.fpjq.org/fr/repertoire-des-membres/detail/id/natndwRC2fRgL9c2IfvsEfLo" TargetMode="External" Id="rId89" /><Relationship Type="http://schemas.openxmlformats.org/officeDocument/2006/relationships/hyperlink" Target="https://www.fpjq.org/fr/repertoire-des-membres/detail/id/imppeWvGRUnIHZ11RGE6SEOX" TargetMode="External" Id="rId90" /><Relationship Type="http://schemas.openxmlformats.org/officeDocument/2006/relationships/hyperlink" Target="https://www.fpjq.org/fr/repertoire-des-membres/detail/id/nat6E2mgtMSLs2TL1u5UDqYV" TargetMode="External" Id="rId91" /><Relationship Type="http://schemas.openxmlformats.org/officeDocument/2006/relationships/hyperlink" Target="https://www.fpjq.org/fr/repertoire-des-membres/detail/id/impMFTb5WT1SMmdWzxYYfjt1" TargetMode="External" Id="rId92" /><Relationship Type="http://schemas.openxmlformats.org/officeDocument/2006/relationships/hyperlink" Target="https://www.fpjq.org/fr/repertoire-des-membres/detail/id/impxjcuhG7CcUCUH0OLxcdNv" TargetMode="External" Id="rId93" /><Relationship Type="http://schemas.openxmlformats.org/officeDocument/2006/relationships/hyperlink" Target="https://www.fpjq.org/fr/repertoire-des-membres/detail/id/impwBQFdvCIc74CuO82BzVnO" TargetMode="External" Id="rId94" /><Relationship Type="http://schemas.openxmlformats.org/officeDocument/2006/relationships/hyperlink" Target="https://www.fpjq.org/fr/repertoire-des-membres/detail/id/nat0k7uRulv8heKRHHnEnAsJ" TargetMode="External" Id="rId95" /><Relationship Type="http://schemas.openxmlformats.org/officeDocument/2006/relationships/hyperlink" Target="https://www.fpjq.org/fr/repertoire-des-membres/detail/id/natorNLV0Za64zN7mPW0kAdU" TargetMode="External" Id="rId96" /><Relationship Type="http://schemas.openxmlformats.org/officeDocument/2006/relationships/hyperlink" Target="https://www.fpjq.org/fr/repertoire-des-membres/detail/id/nat9JwxOIKroKtS7gjqih7FK" TargetMode="External" Id="rId97" /><Relationship Type="http://schemas.openxmlformats.org/officeDocument/2006/relationships/hyperlink" Target="https://www.fpjq.org/fr/repertoire-des-membres/detail/id/impz46U7KByQ7mUXTHGNWAhC" TargetMode="External" Id="rId98" /><Relationship Type="http://schemas.openxmlformats.org/officeDocument/2006/relationships/hyperlink" Target="https://www.fpjq.org/fr/repertoire-des-membres/detail/id/natmlJX1Oy4DNDV4Z5L338Mz" TargetMode="External" Id="rId99" /><Relationship Type="http://schemas.openxmlformats.org/officeDocument/2006/relationships/hyperlink" Target="https://www.fpjq.org/fr/repertoire-des-membres/detail/id/impIq17fFohYXjU589wuAn8H" TargetMode="External" Id="rId100" /><Relationship Type="http://schemas.openxmlformats.org/officeDocument/2006/relationships/hyperlink" Target="https://www.fpjq.org/fr/repertoire-des-membres/detail/id/impVev6fvkKxpoThS6BQDk91" TargetMode="External" Id="rId101" /><Relationship Type="http://schemas.openxmlformats.org/officeDocument/2006/relationships/hyperlink" Target="https://www.fpjq.org/fr/repertoire-des-membres/detail/id/natjXjX94bIunXzVWQkhzYn0" TargetMode="External" Id="rId102" /><Relationship Type="http://schemas.openxmlformats.org/officeDocument/2006/relationships/hyperlink" Target="https://www.fpjq.org/fr/repertoire-des-membres/detail/id/impdHF5RDnygWaRKZl6PrMvg" TargetMode="External" Id="rId103" /><Relationship Type="http://schemas.openxmlformats.org/officeDocument/2006/relationships/hyperlink" Target="https://www.fpjq.org/fr/repertoire-des-membres/detail/id/natCN0EwLI3wrxccsPi2SdFc" TargetMode="External" Id="rId104" /><Relationship Type="http://schemas.openxmlformats.org/officeDocument/2006/relationships/hyperlink" Target="https://www.fpjq.org/fr/repertoire-des-membres/detail/id/impITzXCxiBG6WUkI9mAfh7Z" TargetMode="External" Id="rId105" /><Relationship Type="http://schemas.openxmlformats.org/officeDocument/2006/relationships/hyperlink" Target="https://www.fpjq.org/fr/repertoire-des-membres/detail/id/impXDu5FIATNmu6dt7F3HR6N" TargetMode="External" Id="rId106" /><Relationship Type="http://schemas.openxmlformats.org/officeDocument/2006/relationships/hyperlink" Target="https://www.fpjq.org/fr/repertoire-des-membres/detail/id/impVm533HM0nIVVwNf2PvSkv" TargetMode="External" Id="rId107" /><Relationship Type="http://schemas.openxmlformats.org/officeDocument/2006/relationships/hyperlink" Target="https://www.fpjq.org/fr/repertoire-des-membres/detail/id/nat4I50uDZs1JOFdK2cD9B1x" TargetMode="External" Id="rId108" /><Relationship Type="http://schemas.openxmlformats.org/officeDocument/2006/relationships/hyperlink" Target="https://www.fpjq.org/fr/repertoire-des-membres/detail/id/impAXuZjN6Ef5CJPNxrbPAds" TargetMode="External" Id="rId109" /><Relationship Type="http://schemas.openxmlformats.org/officeDocument/2006/relationships/hyperlink" Target="https://www.fpjq.org/fr/repertoire-des-membres/detail/id/impxLzDoNYCNSTsDcN5QXEjO" TargetMode="External" Id="rId110" /><Relationship Type="http://schemas.openxmlformats.org/officeDocument/2006/relationships/hyperlink" Target="https://www.fpjq.org/fr/repertoire-des-membres/detail/id/imp3nptRihZtCykVgjikM50x" TargetMode="External" Id="rId111" /><Relationship Type="http://schemas.openxmlformats.org/officeDocument/2006/relationships/hyperlink" Target="https://www.fpjq.org/fr/repertoire-des-membres/detail/id/natLn51oVgPf2GO4JMoFWWNP" TargetMode="External" Id="rId112" /><Relationship Type="http://schemas.openxmlformats.org/officeDocument/2006/relationships/hyperlink" Target="https://www.fpjq.org/fr/repertoire-des-membres/detail/id/natDevDDScJTPFG44FGjTmzR" TargetMode="External" Id="rId113" /><Relationship Type="http://schemas.openxmlformats.org/officeDocument/2006/relationships/hyperlink" Target="https://www.fpjq.org/fr/repertoire-des-membres/detail/id/natpSovGgPNx445G4LboJnMx" TargetMode="External" Id="rId114" /><Relationship Type="http://schemas.openxmlformats.org/officeDocument/2006/relationships/hyperlink" Target="https://www.fpjq.org/fr/repertoire-des-membres/detail/id/natqK2G9lnL19rneWtibQJyQ" TargetMode="External" Id="rId115" /><Relationship Type="http://schemas.openxmlformats.org/officeDocument/2006/relationships/hyperlink" Target="https://www.fpjq.org/fr/repertoire-des-membres/detail/id/nat0Vk09fxHa1Jzh5AODqJFB" TargetMode="External" Id="rId116" /><Relationship Type="http://schemas.openxmlformats.org/officeDocument/2006/relationships/hyperlink" Target="https://www.fpjq.org/fr/repertoire-des-membres/detail/id/natsadIMvTRumfsWhYjRzAdV" TargetMode="External" Id="rId117" /><Relationship Type="http://schemas.openxmlformats.org/officeDocument/2006/relationships/hyperlink" Target="https://www.fpjq.org/fr/repertoire-des-membres/detail/id/nathlLEO0GsBcvYci7qggD8N" TargetMode="External" Id="rId118" /><Relationship Type="http://schemas.openxmlformats.org/officeDocument/2006/relationships/hyperlink" Target="https://www.fpjq.org/fr/repertoire-des-membres/detail/id/impNzQv3SXpb1BTbm8THSru5" TargetMode="External" Id="rId119" /><Relationship Type="http://schemas.openxmlformats.org/officeDocument/2006/relationships/hyperlink" Target="https://www.fpjq.org/fr/repertoire-des-membres/detail/id/impU64KxxpzxfGuokULaXT9S" TargetMode="External" Id="rId120" /><Relationship Type="http://schemas.openxmlformats.org/officeDocument/2006/relationships/hyperlink" Target="https://www.fpjq.org/fr/repertoire-des-membres/detail/id/impftcQJ3XGfRU5KG78nobCW" TargetMode="External" Id="rId121" /><Relationship Type="http://schemas.openxmlformats.org/officeDocument/2006/relationships/hyperlink" Target="https://www.fpjq.org/fr/repertoire-des-membres/detail/id/impAiV0uZb402MpIr8HAPYi7" TargetMode="External" Id="rId122" /><Relationship Type="http://schemas.openxmlformats.org/officeDocument/2006/relationships/hyperlink" Target="https://www.fpjq.org/fr/repertoire-des-membres/detail/id/imp0EnfZWIRBwn4zInjyCLTK" TargetMode="External" Id="rId123" /><Relationship Type="http://schemas.openxmlformats.org/officeDocument/2006/relationships/hyperlink" Target="https://www.fpjq.org/fr/repertoire-des-membres/detail/id/impQwrjb1GUFVZiv41GUJyR8" TargetMode="External" Id="rId124" /><Relationship Type="http://schemas.openxmlformats.org/officeDocument/2006/relationships/hyperlink" Target="https://www.fpjq.org/fr/repertoire-des-membres/detail/id/imp2A4vIbhAp4vDCDajvyauc" TargetMode="External" Id="rId125" /><Relationship Type="http://schemas.openxmlformats.org/officeDocument/2006/relationships/hyperlink" Target="https://www.fpjq.org/fr/repertoire-des-membres/detail/id/natLrlhccRb0VoEXOszCpviz" TargetMode="External" Id="rId126" /><Relationship Type="http://schemas.openxmlformats.org/officeDocument/2006/relationships/hyperlink" Target="https://www.fpjq.org/fr/repertoire-des-membres/detail/id/natOWHDIHW4yvdNgEpSoZZRi" TargetMode="External" Id="rId127" /><Relationship Type="http://schemas.openxmlformats.org/officeDocument/2006/relationships/hyperlink" Target="https://www.fpjq.org/fr/repertoire-des-membres/detail/id/impqshTIkmpbkRdYATQiOFJ2" TargetMode="External" Id="rId128" /><Relationship Type="http://schemas.openxmlformats.org/officeDocument/2006/relationships/hyperlink" Target="https://www.fpjq.org/fr/repertoire-des-membres/detail/id/natHOe2HkMpcHOEXVMWOhzEo" TargetMode="External" Id="rId129" /><Relationship Type="http://schemas.openxmlformats.org/officeDocument/2006/relationships/hyperlink" Target="https://www.fpjq.org/fr/repertoire-des-membres/detail/id/nat0DKWmbDMTnvYXH9xRzIVU" TargetMode="External" Id="rId130" /><Relationship Type="http://schemas.openxmlformats.org/officeDocument/2006/relationships/hyperlink" Target="https://www.fpjq.org/fr/repertoire-des-membres/detail/id/imp0UbwmHIeqQ2LAbLxjAfjL" TargetMode="External" Id="rId131" /><Relationship Type="http://schemas.openxmlformats.org/officeDocument/2006/relationships/hyperlink" Target="https://www.fpjq.org/fr/repertoire-des-membres/detail/id/impEMpA3b7yXy4t9kL4Y94Yr" TargetMode="External" Id="rId132" /><Relationship Type="http://schemas.openxmlformats.org/officeDocument/2006/relationships/hyperlink" Target="https://www.fpjq.org/fr/repertoire-des-membres/detail/id/impyq9ajTasQwErhwOVyTSZ7" TargetMode="External" Id="rId133" /><Relationship Type="http://schemas.openxmlformats.org/officeDocument/2006/relationships/hyperlink" Target="https://www.fpjq.org/fr/repertoire-des-membres/detail/id/impDv9aHRftsS39y4HOjWtqf" TargetMode="External" Id="rId134" /><Relationship Type="http://schemas.openxmlformats.org/officeDocument/2006/relationships/hyperlink" Target="https://www.fpjq.org/fr/repertoire-des-membres/detail/id/imp0TIvZPHPhfZTcLSfAQv5U" TargetMode="External" Id="rId135" /><Relationship Type="http://schemas.openxmlformats.org/officeDocument/2006/relationships/hyperlink" Target="https://www.fpjq.org/fr/repertoire-des-membres/detail/id/nat6VaE1epCNHLvtVjL9GeIL" TargetMode="External" Id="rId136" /><Relationship Type="http://schemas.openxmlformats.org/officeDocument/2006/relationships/hyperlink" Target="https://www.fpjq.org/fr/repertoire-des-membres/detail/id/natNDqQm6ARZKnPrljS0FNbr" TargetMode="External" Id="rId137" /><Relationship Type="http://schemas.openxmlformats.org/officeDocument/2006/relationships/hyperlink" Target="https://www.fpjq.org/fr/repertoire-des-membres/detail/id/impz26HTzqXQGymBUjwmDfV1" TargetMode="External" Id="rId138" /><Relationship Type="http://schemas.openxmlformats.org/officeDocument/2006/relationships/hyperlink" Target="https://www.fpjq.org/fr/repertoire-des-membres/detail/id/impX0FTRqgsIFjeh1nH1AUro" TargetMode="External" Id="rId139" /><Relationship Type="http://schemas.openxmlformats.org/officeDocument/2006/relationships/hyperlink" Target="https://www.fpjq.org/fr/repertoire-des-membres/detail/id/nat4PoguifAkdba4JD1k42Bb" TargetMode="External" Id="rId140" /><Relationship Type="http://schemas.openxmlformats.org/officeDocument/2006/relationships/hyperlink" Target="https://www.fpjq.org/fr/repertoire-des-membres/detail/id/natK71oT6xuNNTfbmz0hNxq7" TargetMode="External" Id="rId141" /><Relationship Type="http://schemas.openxmlformats.org/officeDocument/2006/relationships/hyperlink" Target="https://www.fpjq.org/fr/repertoire-des-membres/detail/id/impEktwD7xd4F9KRo6EdpBIU" TargetMode="External" Id="rId142" /><Relationship Type="http://schemas.openxmlformats.org/officeDocument/2006/relationships/hyperlink" Target="https://www.fpjq.org/fr/repertoire-des-membres/detail/id/natilRTMi7W9SGPpNftgRxab" TargetMode="External" Id="rId143" /><Relationship Type="http://schemas.openxmlformats.org/officeDocument/2006/relationships/hyperlink" Target="https://www.fpjq.org/fr/repertoire-des-membres/detail/id/natobF3zopAeeUw3A5R0WCDZ" TargetMode="External" Id="rId144" /><Relationship Type="http://schemas.openxmlformats.org/officeDocument/2006/relationships/hyperlink" Target="https://www.fpjq.org/fr/repertoire-des-membres/detail/id/natGEap3weOzIdL1lOQfOMQ4" TargetMode="External" Id="rId145" /><Relationship Type="http://schemas.openxmlformats.org/officeDocument/2006/relationships/hyperlink" Target="https://www.fpjq.org/fr/repertoire-des-membres/detail/id/nat7cXrm2Nt4sMxlNL1MiudC" TargetMode="External" Id="rId146" /><Relationship Type="http://schemas.openxmlformats.org/officeDocument/2006/relationships/hyperlink" Target="https://www.fpjq.org/fr/repertoire-des-membres/detail/id/impy1dvX2Oaj9ddpyIFI58eN" TargetMode="External" Id="rId147" /><Relationship Type="http://schemas.openxmlformats.org/officeDocument/2006/relationships/hyperlink" Target="https://www.fpjq.org/fr/repertoire-des-membres/detail/id/natJQtMrHWwPb8BpivV1CPmY" TargetMode="External" Id="rId148" /><Relationship Type="http://schemas.openxmlformats.org/officeDocument/2006/relationships/hyperlink" Target="https://www.fpjq.org/fr/repertoire-des-membres/detail/id/impZh6PmUdtdIIsNzcGnkFoK" TargetMode="External" Id="rId149" /><Relationship Type="http://schemas.openxmlformats.org/officeDocument/2006/relationships/hyperlink" Target="https://www.fpjq.org/fr/repertoire-des-membres/detail/id/imp4pyWRr69PVQgIxYeGl6BX" TargetMode="External" Id="rId150" /><Relationship Type="http://schemas.openxmlformats.org/officeDocument/2006/relationships/hyperlink" Target="https://www.fpjq.org/fr/repertoire-des-membres/detail/id/implAKYIC6yVlwSMfVJciWle" TargetMode="External" Id="rId151" /><Relationship Type="http://schemas.openxmlformats.org/officeDocument/2006/relationships/hyperlink" Target="https://www.fpjq.org/fr/repertoire-des-membres/detail/id/impRRyKMhV2axdZ6hQ1R4AVD" TargetMode="External" Id="rId152" /><Relationship Type="http://schemas.openxmlformats.org/officeDocument/2006/relationships/hyperlink" Target="https://www.fpjq.org/fr/repertoire-des-membres/detail/id/natuVDukhCK7CEiQ2hewtSkT" TargetMode="External" Id="rId153" /><Relationship Type="http://schemas.openxmlformats.org/officeDocument/2006/relationships/hyperlink" Target="https://www.fpjq.org/fr/repertoire-des-membres/detail/id/nateJg3GDlreBeNZIRDpWpcS" TargetMode="External" Id="rId154" /><Relationship Type="http://schemas.openxmlformats.org/officeDocument/2006/relationships/hyperlink" Target="https://www.fpjq.org/fr/repertoire-des-membres/detail/id/natOtBuRT2CSAQEF1F5clTqp" TargetMode="External" Id="rId155" /><Relationship Type="http://schemas.openxmlformats.org/officeDocument/2006/relationships/hyperlink" Target="https://www.fpjq.org/fr/repertoire-des-membres/detail/id/natEsaDl2IbHzFiPq373Bzae" TargetMode="External" Id="rId156" /><Relationship Type="http://schemas.openxmlformats.org/officeDocument/2006/relationships/hyperlink" Target="https://www.fpjq.org/fr/repertoire-des-membres/detail/id/natd69JVZ1r9PgG4ay8llyvI" TargetMode="External" Id="rId157" /><Relationship Type="http://schemas.openxmlformats.org/officeDocument/2006/relationships/hyperlink" Target="https://www.fpjq.org/fr/repertoire-des-membres/detail/id/imp7IPG6Bp5qUqZN7wExSPnX" TargetMode="External" Id="rId158" /><Relationship Type="http://schemas.openxmlformats.org/officeDocument/2006/relationships/hyperlink" Target="https://www.fpjq.org/fr/repertoire-des-membres/detail/id/natluxRSbyHw36BIOJJpzyZP" TargetMode="External" Id="rId159" /><Relationship Type="http://schemas.openxmlformats.org/officeDocument/2006/relationships/hyperlink" Target="https://www.fpjq.org/fr/repertoire-des-membres/detail/id/impM1cEdA4gsiGQxgTGGQxGH" TargetMode="External" Id="rId160" /><Relationship Type="http://schemas.openxmlformats.org/officeDocument/2006/relationships/hyperlink" Target="https://www.fpjq.org/fr/repertoire-des-membres/detail/id/impA87fq0FwIrvGAfeJXLOjX" TargetMode="External" Id="rId161" /><Relationship Type="http://schemas.openxmlformats.org/officeDocument/2006/relationships/hyperlink" Target="https://www.fpjq.org/fr/repertoire-des-membres/detail/id/natIyco6EZN4zPBhBav4ZIpW" TargetMode="External" Id="rId162" /><Relationship Type="http://schemas.openxmlformats.org/officeDocument/2006/relationships/hyperlink" Target="https://www.fpjq.org/fr/repertoire-des-membres/detail/id/impsBavyehB89YOsYvvykQ2l" TargetMode="External" Id="rId163" /><Relationship Type="http://schemas.openxmlformats.org/officeDocument/2006/relationships/hyperlink" Target="https://www.fpjq.org/fr/repertoire-des-membres/detail/id/impj62HFvLMnWvNQqssvN8Cn" TargetMode="External" Id="rId164" /><Relationship Type="http://schemas.openxmlformats.org/officeDocument/2006/relationships/hyperlink" Target="https://www.fpjq.org/fr/repertoire-des-membres/detail/id/natdCABdBrNYD9yzR2cnxNb9" TargetMode="External" Id="rId165" /><Relationship Type="http://schemas.openxmlformats.org/officeDocument/2006/relationships/hyperlink" Target="https://www.fpjq.org/fr/repertoire-des-membres/detail/id/impDPPAh0Pn1U5PvFYi3EMiG" TargetMode="External" Id="rId166" /><Relationship Type="http://schemas.openxmlformats.org/officeDocument/2006/relationships/hyperlink" Target="https://www.fpjq.org/fr/repertoire-des-membres/detail/id/natXZFHBBcs5fxgtLvUiGfKi" TargetMode="External" Id="rId167" /><Relationship Type="http://schemas.openxmlformats.org/officeDocument/2006/relationships/hyperlink" Target="https://www.fpjq.org/fr/repertoire-des-membres/detail/id/nateqSN18XC19MF2tfMYyLME" TargetMode="External" Id="rId168" /><Relationship Type="http://schemas.openxmlformats.org/officeDocument/2006/relationships/hyperlink" Target="https://www.fpjq.org/fr/repertoire-des-membres/detail/id/impsn3PGh8C9JnmvuZBfE3tl" TargetMode="External" Id="rId169" /><Relationship Type="http://schemas.openxmlformats.org/officeDocument/2006/relationships/hyperlink" Target="https://www.fpjq.org/fr/repertoire-des-membres/detail/id/natxBgOtx0NcxF07QobsehSX" TargetMode="External" Id="rId170" /><Relationship Type="http://schemas.openxmlformats.org/officeDocument/2006/relationships/hyperlink" Target="https://www.fpjq.org/fr/repertoire-des-membres/detail/id/impasMC15xwFCcHyodsjslhf" TargetMode="External" Id="rId171" /><Relationship Type="http://schemas.openxmlformats.org/officeDocument/2006/relationships/hyperlink" Target="https://www.fpjq.org/fr/repertoire-des-membres/detail/id/natro2p2Jvcd0wxK5FsIff7s" TargetMode="External" Id="rId172" /><Relationship Type="http://schemas.openxmlformats.org/officeDocument/2006/relationships/hyperlink" Target="https://www.fpjq.org/fr/repertoire-des-membres/detail/id/natWqvu0CIbRVDVniYXTHFtz" TargetMode="External" Id="rId173" /><Relationship Type="http://schemas.openxmlformats.org/officeDocument/2006/relationships/hyperlink" Target="https://www.fpjq.org/fr/repertoire-des-membres/detail/id/imprzT4KgK1kAOvFfRW5Nnri" TargetMode="External" Id="rId174" /><Relationship Type="http://schemas.openxmlformats.org/officeDocument/2006/relationships/hyperlink" Target="https://www.fpjq.org/fr/repertoire-des-membres/detail/id/natO0LVy3YbPCZLIavMDR3sv" TargetMode="External" Id="rId175" /><Relationship Type="http://schemas.openxmlformats.org/officeDocument/2006/relationships/hyperlink" Target="https://www.fpjq.org/fr/repertoire-des-membres/detail/id/impLI5IserLZ8fh6G4Y4tt3f" TargetMode="External" Id="rId176" /><Relationship Type="http://schemas.openxmlformats.org/officeDocument/2006/relationships/hyperlink" Target="https://www.fpjq.org/fr/repertoire-des-membres/detail/id/impSpYfXCYgxF0rwnQUX7rbg" TargetMode="External" Id="rId177" /><Relationship Type="http://schemas.openxmlformats.org/officeDocument/2006/relationships/hyperlink" Target="https://www.fpjq.org/fr/repertoire-des-membres/detail/id/impPn7PKYP71pd3JChOPcio5" TargetMode="External" Id="rId178" /><Relationship Type="http://schemas.openxmlformats.org/officeDocument/2006/relationships/hyperlink" Target="https://www.fpjq.org/fr/repertoire-des-membres/detail/id/nat2PTMLXaQ9gzI7ZM2qInGa" TargetMode="External" Id="rId179" /><Relationship Type="http://schemas.openxmlformats.org/officeDocument/2006/relationships/hyperlink" Target="https://www.fpjq.org/fr/repertoire-des-membres/detail/id/imp4k3CtHIS7f68QSKtwVS5h" TargetMode="External" Id="rId180" /><Relationship Type="http://schemas.openxmlformats.org/officeDocument/2006/relationships/hyperlink" Target="https://www.fpjq.org/fr/repertoire-des-membres/detail/id/natOlrkNvkCGKGc9CCFAFp2A" TargetMode="External" Id="rId181" /><Relationship Type="http://schemas.openxmlformats.org/officeDocument/2006/relationships/hyperlink" Target="https://www.fpjq.org/fr/repertoire-des-membres/detail/id/impfl9oy1vNIXw1xxkQIcHHw" TargetMode="External" Id="rId182" /><Relationship Type="http://schemas.openxmlformats.org/officeDocument/2006/relationships/hyperlink" Target="https://www.fpjq.org/fr/repertoire-des-membres/detail/id/natrjE9JT0hJwpbTPmxyfSpU" TargetMode="External" Id="rId183" /><Relationship Type="http://schemas.openxmlformats.org/officeDocument/2006/relationships/hyperlink" Target="https://www.fpjq.org/fr/repertoire-des-membres/detail/id/impO1DzqwUI1PqpBSdCCDSFO" TargetMode="External" Id="rId184" /><Relationship Type="http://schemas.openxmlformats.org/officeDocument/2006/relationships/hyperlink" Target="https://www.fpjq.org/fr/repertoire-des-membres/detail/id/natRQ0cABKP1IcXiL9rwwuAb" TargetMode="External" Id="rId185" /><Relationship Type="http://schemas.openxmlformats.org/officeDocument/2006/relationships/hyperlink" Target="https://www.fpjq.org/fr/repertoire-des-membres/detail/id/natYoUtId4pbf0NVpLLJj3WY" TargetMode="External" Id="rId186" /><Relationship Type="http://schemas.openxmlformats.org/officeDocument/2006/relationships/hyperlink" Target="https://www.fpjq.org/fr/repertoire-des-membres/detail/id/impYInsKUo5kJRiGBc4KiR8V" TargetMode="External" Id="rId187" /><Relationship Type="http://schemas.openxmlformats.org/officeDocument/2006/relationships/hyperlink" Target="https://www.fpjq.org/fr/repertoire-des-membres/detail/id/naticGTcMVEHzrRzDuLqmJ49" TargetMode="External" Id="rId188" /><Relationship Type="http://schemas.openxmlformats.org/officeDocument/2006/relationships/hyperlink" Target="https://www.fpjq.org/fr/repertoire-des-membres/detail/id/natAYr2IPYV6rnzebC87WTpE" TargetMode="External" Id="rId189" /><Relationship Type="http://schemas.openxmlformats.org/officeDocument/2006/relationships/hyperlink" Target="https://www.fpjq.org/fr/repertoire-des-membres/detail/id/imp2b7KA4MQdToh9gDbsATez" TargetMode="External" Id="rId190" /><Relationship Type="http://schemas.openxmlformats.org/officeDocument/2006/relationships/hyperlink" Target="https://www.fpjq.org/fr/repertoire-des-membres/detail/id/impU8PTHJrZuiGQZwo9vCam4" TargetMode="External" Id="rId191" /><Relationship Type="http://schemas.openxmlformats.org/officeDocument/2006/relationships/hyperlink" Target="https://www.fpjq.org/fr/repertoire-des-membres/detail/id/impnMkUmSroVKRTsfSI912HH" TargetMode="External" Id="rId192" /><Relationship Type="http://schemas.openxmlformats.org/officeDocument/2006/relationships/hyperlink" Target="https://www.fpjq.org/fr/repertoire-des-membres/detail/id/impueSLukbHGtGnKm6rX3fcv" TargetMode="External" Id="rId193" /><Relationship Type="http://schemas.openxmlformats.org/officeDocument/2006/relationships/hyperlink" Target="https://www.fpjq.org/fr/repertoire-des-membres/detail/id/natFCEN1s6nMt81mWduqVUVw" TargetMode="External" Id="rId194" /><Relationship Type="http://schemas.openxmlformats.org/officeDocument/2006/relationships/hyperlink" Target="https://www.fpjq.org/fr/repertoire-des-membres/detail/id/natctpKPY0jZkM1EEzTqhH0X" TargetMode="External" Id="rId195" /><Relationship Type="http://schemas.openxmlformats.org/officeDocument/2006/relationships/hyperlink" Target="https://www.fpjq.org/fr/repertoire-des-membres/detail/id/natAKIDp8WYMVNqOUtRrH9eA" TargetMode="External" Id="rId196" /><Relationship Type="http://schemas.openxmlformats.org/officeDocument/2006/relationships/hyperlink" Target="https://www.fpjq.org/fr/repertoire-des-membres/detail/id/natuIfqp094281bEgcKs8VyV" TargetMode="External" Id="rId197" /><Relationship Type="http://schemas.openxmlformats.org/officeDocument/2006/relationships/hyperlink" Target="https://www.fpjq.org/fr/repertoire-des-membres/detail/id/nat6PxYOzyjBSjlUhbsRkUj9" TargetMode="External" Id="rId198" /><Relationship Type="http://schemas.openxmlformats.org/officeDocument/2006/relationships/hyperlink" Target="https://www.fpjq.org/fr/repertoire-des-membres/detail/id/natnBrAlwNOxgs1yBbJWhSIm" TargetMode="External" Id="rId199" /><Relationship Type="http://schemas.openxmlformats.org/officeDocument/2006/relationships/hyperlink" Target="https://www.fpjq.org/fr/repertoire-des-membres/detail/id/impSGMadmDSy9J2BbXiFLR7Q" TargetMode="External" Id="rId200" /><Relationship Type="http://schemas.openxmlformats.org/officeDocument/2006/relationships/hyperlink" Target="https://www.fpjq.org/fr/repertoire-des-membres/detail/id/natTRMDkyDmLxRgeKrzuld3c" TargetMode="External" Id="rId201" /><Relationship Type="http://schemas.openxmlformats.org/officeDocument/2006/relationships/hyperlink" Target="https://www.fpjq.org/fr/repertoire-des-membres/detail/id/nat8GPfWuL6bwV13vEuiuBN9" TargetMode="External" Id="rId202" /><Relationship Type="http://schemas.openxmlformats.org/officeDocument/2006/relationships/hyperlink" Target="https://www.fpjq.org/fr/repertoire-des-membres/detail/id/impYdquWRRqReWti6sZwyYix" TargetMode="External" Id="rId203" /><Relationship Type="http://schemas.openxmlformats.org/officeDocument/2006/relationships/hyperlink" Target="https://www.fpjq.org/fr/repertoire-des-membres/detail/id/impUYrymlXc4KENPEmaI6o6r" TargetMode="External" Id="rId204" /><Relationship Type="http://schemas.openxmlformats.org/officeDocument/2006/relationships/hyperlink" Target="https://www.fpjq.org/fr/repertoire-des-membres/detail/id/natfsRaPF5VuiMCyNaVrShgQ" TargetMode="External" Id="rId205" /><Relationship Type="http://schemas.openxmlformats.org/officeDocument/2006/relationships/hyperlink" Target="https://www.fpjq.org/fr/repertoire-des-membres/detail/id/natuqYl0sOhjXxvoibmjtMpK" TargetMode="External" Id="rId206" /><Relationship Type="http://schemas.openxmlformats.org/officeDocument/2006/relationships/hyperlink" Target="https://www.fpjq.org/fr/repertoire-des-membres/detail/id/impe1KYr1J4jUnRfGPizKqig" TargetMode="External" Id="rId207" /><Relationship Type="http://schemas.openxmlformats.org/officeDocument/2006/relationships/hyperlink" Target="https://www.fpjq.org/fr/repertoire-des-membres/detail/id/impmkUBTGNHZSz5xoKBpvrkI" TargetMode="External" Id="rId208" /><Relationship Type="http://schemas.openxmlformats.org/officeDocument/2006/relationships/hyperlink" Target="https://www.fpjq.org/fr/repertoire-des-membres/detail/id/impBj3N98jzkDooQdVbrfvqe" TargetMode="External" Id="rId209" /><Relationship Type="http://schemas.openxmlformats.org/officeDocument/2006/relationships/hyperlink" Target="https://www.fpjq.org/fr/repertoire-des-membres/detail/id/impy1Z5WHeGUYIEJv1xj5ZbV" TargetMode="External" Id="rId210" /><Relationship Type="http://schemas.openxmlformats.org/officeDocument/2006/relationships/hyperlink" Target="https://www.fpjq.org/fr/repertoire-des-membres/detail/id/natRBjwapKy9nb0bjFUyrjjM" TargetMode="External" Id="rId211" /><Relationship Type="http://schemas.openxmlformats.org/officeDocument/2006/relationships/hyperlink" Target="https://www.fpjq.org/fr/repertoire-des-membres/detail/id/impnL0wiWwwG3blP603riYGf" TargetMode="External" Id="rId212" /><Relationship Type="http://schemas.openxmlformats.org/officeDocument/2006/relationships/hyperlink" Target="https://www.fpjq.org/fr/repertoire-des-membres/detail/id/nat5XIb2NayAu7IIWCMGMzKw" TargetMode="External" Id="rId213" /><Relationship Type="http://schemas.openxmlformats.org/officeDocument/2006/relationships/hyperlink" Target="https://www.fpjq.org/fr/repertoire-des-membres/detail/id/natxl8x7HG9U8o5YLUO1pSB1" TargetMode="External" Id="rId214" /><Relationship Type="http://schemas.openxmlformats.org/officeDocument/2006/relationships/hyperlink" Target="https://www.fpjq.org/fr/repertoire-des-membres/detail/id/natj4uZme01jEywYIv3mgzjf" TargetMode="External" Id="rId215" /><Relationship Type="http://schemas.openxmlformats.org/officeDocument/2006/relationships/hyperlink" Target="https://www.fpjq.org/fr/repertoire-des-membres/detail/id/impt5UoPXO4v5NMTELJY9G9M" TargetMode="External" Id="rId216" /><Relationship Type="http://schemas.openxmlformats.org/officeDocument/2006/relationships/hyperlink" Target="https://www.fpjq.org/fr/repertoire-des-membres/detail/id/natnVIgetEPXNnBvecdrQDzK" TargetMode="External" Id="rId217"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filterMode="0">
    <outlinePr summaryBelow="1" summaryRight="1"/>
    <pageSetUpPr fitToPage="0"/>
  </sheetPr>
  <dimension ref="A1:B3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6" customWidth="1" style="25" min="1" max="1"/>
    <col width="108" customWidth="1" style="25" min="2" max="2"/>
  </cols>
  <sheetData>
    <row r="1" ht="19.7" customHeight="1" s="26">
      <c r="A1" s="27" t="inlineStr">
        <is>
          <t>Listes médias Lasclay — prévente d'automne 2026 et Dragons' Den</t>
        </is>
      </c>
    </row>
    <row r="2" ht="15" customHeight="1" s="26">
      <c r="A2" s="28" t="inlineStr">
        <is>
          <t>Préparé le 31 août 2026. Diffusion TV : jeudi 17 septembre 2026, 20 h (CBC / CBC Gem). Prévente : samedi 12 septembre, 9 h HE.</t>
        </is>
      </c>
    </row>
    <row r="5" ht="15" customHeight="1" s="26">
      <c r="A5" s="29" t="inlineStr">
        <is>
          <t>LES DEUX ONGLETS</t>
        </is>
      </c>
    </row>
    <row r="6" ht="23.85" customHeight="1" s="26">
      <c r="A6" s="30" t="inlineStr">
        <is>
          <t>Liste chaude (28)</t>
        </is>
      </c>
      <c r="B6" s="31" t="inlineStr">
        <is>
          <t>Journalistes qui ont déjà écrit à Lasclay, extraits de 352 fils de la boîte LAS Media dans Missive. Ils te connaissent. C'est la vague 1, et chaque message doit être écrit à la main.</t>
        </is>
      </c>
    </row>
    <row r="7" ht="15" customHeight="1" s="26">
      <c r="A7" s="30" t="inlineStr">
        <is>
          <t>Liste froide FPJQ (217)</t>
        </is>
      </c>
      <c r="B7" s="31" t="inlineStr">
        <is>
          <t>Répertoire des membres de la FPJQ, filtré sur les secteurs pertinents. Aucun lien préalable avec Lasclay. Sollicitation de presse individuelle seulement.</t>
        </is>
      </c>
    </row>
    <row r="9" ht="15" customHeight="1" s="26">
      <c r="A9" s="29" t="inlineStr">
        <is>
          <t>COMMENT ENVOYER</t>
        </is>
      </c>
    </row>
    <row r="10" ht="15" customHeight="1" s="26">
      <c r="A10" s="30" t="inlineStr">
        <is>
          <t>Canal</t>
        </is>
      </c>
      <c r="B10" s="31" t="inlineStr">
        <is>
          <t>Missive, depuis media@lasclay.com. Un message à la fois, pas un publipostage.</t>
        </is>
      </c>
    </row>
    <row r="11" ht="23.85" customHeight="1" s="26">
      <c r="A11" s="30" t="inlineStr">
        <is>
          <t>Pas Klaviyo</t>
        </is>
      </c>
      <c r="B11" s="32" t="inlineStr">
        <is>
          <t>Ne jamais importer ces contacts dans Klaviyo. Un envoi de masse vers des adresses froides ferait grimper les rebonds et les plaintes, ce qui dégraderait mail.lasclay.com — le domaine qui doit livrer l'infolettre de prévente à tes vrais clients.</t>
        </is>
      </c>
    </row>
    <row r="12" ht="15" customHeight="1" s="26">
      <c r="A12" s="30" t="inlineStr">
        <is>
          <t>Réglages Missive</t>
        </is>
      </c>
      <c r="B12" s="31" t="inlineStr">
        <is>
          <t>Désactive le suivi des ouvertures et des clics pour ces envois. Le pixel n'apporte rien ici et certains journalistes le voient d'un mauvais œil.</t>
        </is>
      </c>
    </row>
    <row r="13" ht="23.85" customHeight="1" s="26">
      <c r="A13" s="30" t="inlineStr">
        <is>
          <t>Rythme</t>
        </is>
      </c>
      <c r="B13" s="31" t="inlineStr">
        <is>
          <t>Environ 60 messages par jour, avec une première ligne réellement différente pour chacun. 217 messages quasi identiques en dix minutes se comportent comme du publipostage aux yeux des filtres.</t>
        </is>
      </c>
    </row>
    <row r="15" ht="15" customHeight="1" s="26">
      <c r="A15" s="29" t="inlineStr">
        <is>
          <t>CADRE LÉGAL (LCAP)</t>
        </is>
      </c>
    </row>
    <row r="16" ht="15" customHeight="1" s="26">
      <c r="A16" s="30" t="inlineStr">
        <is>
          <t>Ce qui est permis</t>
        </is>
      </c>
      <c r="B16" s="31" t="inlineStr">
        <is>
          <t>La sollicitation de presse ciblée vers une adresse professionnelle publiée sans restriction d'usage est couverte. Le répertoire FPJQ est exactement ce cas.</t>
        </is>
      </c>
    </row>
    <row r="17" ht="23.85" customHeight="1" s="26">
      <c r="A17" s="30" t="inlineStr">
        <is>
          <t>Ce qui est plus fragile</t>
        </is>
      </c>
      <c r="B17" s="31" t="inlineStr">
        <is>
          <t>Les adresses personnelles de pigistes (gmail, hotmail, videotron, outlook). Elles sont marquées « Pigiste » dans la colonne Média. Réserve-les à un message vraiment individualisé.</t>
        </is>
      </c>
    </row>
    <row r="18" ht="15" customHeight="1" s="26">
      <c r="A18" s="30" t="inlineStr">
        <is>
          <t>Interdit</t>
        </is>
      </c>
      <c r="B18" s="31" t="inlineStr">
        <is>
          <t>Ajouter ces contacts à une liste de diffusion, leur envoyer une infolettre, ou leur écrire sans objet journalistique réel.</t>
        </is>
      </c>
    </row>
    <row r="20" ht="15" customHeight="1" s="26">
      <c r="A20" s="29" t="inlineStr">
        <is>
          <t>GARDE-FOUS DRAGONS' DEN</t>
        </is>
      </c>
    </row>
    <row r="21" ht="15" customHeight="1" s="26">
      <c r="A21" s="30" t="inlineStr">
        <is>
          <t>Marques</t>
        </is>
      </c>
      <c r="B21" s="31" t="inlineStr">
        <is>
          <t>Pas de logo CBC ni Dragons' Den, et pas la formule « vu à Dragons' Den », sans licence payée.</t>
        </is>
      </c>
    </row>
    <row r="22" ht="15" customHeight="1" s="26">
      <c r="A22" s="30" t="inlineStr">
        <is>
          <t>Résultat du pitch</t>
        </is>
      </c>
      <c r="B22" s="31" t="inlineStr">
        <is>
          <t>Ne jamais le révéler avant la diffusion du 17 septembre.</t>
        </is>
      </c>
    </row>
    <row r="23" ht="15" customHeight="1" s="26">
      <c r="A23" s="30" t="inlineStr">
        <is>
          <t>Production ≠ presse</t>
        </is>
      </c>
      <c r="B23" s="31" t="inlineStr">
        <is>
          <t>alicia.chirrey@cbc.ca et kylee.habrowski@cbc.ca sont l'équipe de production, pas la salle de nouvelles. Ils ne sont dans aucune des deux listes, volontairement.</t>
        </is>
      </c>
    </row>
    <row r="25" ht="15" customHeight="1" s="26">
      <c r="A25" s="29" t="inlineStr">
        <is>
          <t>COLONNES À REMPLIR</t>
        </is>
      </c>
      <c r="B25" s="33" t="n"/>
    </row>
    <row r="26" ht="15" customHeight="1" s="26">
      <c r="A26" s="30" t="inlineStr">
        <is>
          <t>Fond jaune</t>
        </is>
      </c>
      <c r="B26" s="31" t="inlineStr">
        <is>
          <t>Les colonnes Envoyé le, Réponse et Notes sont vides et te sont réservées. Tout le reste est de la donnée récoltée : n'y écris pas.</t>
        </is>
      </c>
    </row>
    <row r="27" ht="15" customHeight="1" s="26">
      <c r="A27" s="30" t="inlineStr">
        <is>
          <t>Exemple de saisie</t>
        </is>
      </c>
      <c r="B27" s="31" t="inlineStr">
        <is>
          <t>Envoyé le : 2026-09-02   |   Réponse : Oui – entrevue le 9 sept   |   Notes : veut des photos haute résolution du procédé</t>
        </is>
      </c>
    </row>
    <row r="29" ht="15" customHeight="1" s="26">
      <c r="A29" s="29" t="inlineStr">
        <is>
          <t>LIMITES CONNUES</t>
        </is>
      </c>
    </row>
    <row r="30" ht="23.85" customHeight="1" s="26">
      <c r="A30" s="30" t="inlineStr">
        <is>
          <t>Couverture FPJQ</t>
        </is>
      </c>
      <c r="B30" s="31" t="inlineStr">
        <is>
          <t>861 fiches uniques récoltées sur 1317, soit environ 65 %. La pagination du site réordonne les résultats à chaque appel et deux balayages complets n'ont pas donné le reste. La liste couvre les secteurs pertinents, mais elle n'est pas exhaustive.</t>
        </is>
      </c>
    </row>
    <row r="31" ht="23.85" customHeight="1" s="26">
      <c r="A31" s="30" t="inlineStr">
        <is>
          <t>Validité des adresses</t>
        </is>
      </c>
      <c r="B31" s="31" t="inlineStr">
        <is>
          <t>Aucun test de rebond n'a été fait — ça exigeait d'envoyer de vrais courriels. Les adresses FPJQ viennent du répertoire officiel ; celles de la liste chaude ont servi à une vraie correspondance, à la date indiquée.</t>
        </is>
      </c>
    </row>
    <row r="32" ht="23.85" customHeight="1" s="26">
      <c r="A32" s="30" t="inlineStr">
        <is>
          <t>Écartés</t>
        </is>
      </c>
      <c r="B32" s="31" t="inlineStr">
        <is>
          <t>8 fiches retirées : retraités ou étudiants (Isabelle Ferland, Gilles Munger, François Dallaire, Gilles Gougeon, Cedric Gallant, Michel Larose, Sylvain Poisson, Marie-Josée Boucher).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2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6" customWidth="1" style="25" min="1" max="1"/>
    <col width="22" customWidth="1" style="25" min="2" max="2"/>
    <col width="34" customWidth="1" style="25" min="3" max="3"/>
    <col width="15" customWidth="1" style="25" min="4" max="4"/>
    <col width="44" customWidth="1" style="25" min="5" max="5"/>
    <col width="26" customWidth="1" style="25" min="6" max="6"/>
    <col width="24" customWidth="1" style="25" min="7" max="7"/>
    <col width="13" customWidth="1" style="25" min="8" max="8"/>
    <col width="22" customWidth="1" style="25" min="9" max="9"/>
    <col width="34" customWidth="1" style="25" min="10" max="10"/>
    <col width="78" customWidth="1" style="26" min="14" max="14"/>
    <col width="12" customWidth="1" style="26" min="15" max="15"/>
  </cols>
  <sheetData>
    <row r="1" ht="27.75" customHeight="1" s="26">
      <c r="A1" s="34" t="inlineStr">
        <is>
          <t>Nom</t>
        </is>
      </c>
      <c r="B1" s="34" t="inlineStr">
        <is>
          <t>Média</t>
        </is>
      </c>
      <c r="C1" s="34" t="inlineStr">
        <is>
          <t>Courriel</t>
        </is>
      </c>
      <c r="D1" s="34" t="inlineStr">
        <is>
          <t>Dernier contact</t>
        </is>
      </c>
      <c r="E1" s="34" t="inlineStr">
        <is>
          <t>Sujet du dernier échange</t>
        </is>
      </c>
      <c r="F1" s="34" t="inlineStr">
        <is>
          <t>Source</t>
        </is>
      </c>
      <c r="G1" s="34" t="inlineStr">
        <is>
          <t>Fiabilité</t>
        </is>
      </c>
      <c r="H1" s="34" t="inlineStr">
        <is>
          <t>Envoyé le</t>
        </is>
      </c>
      <c r="I1" s="34" t="inlineStr">
        <is>
          <t>Réponse</t>
        </is>
      </c>
      <c r="J1" s="34" t="inlineStr">
        <is>
          <t>Notes</t>
        </is>
      </c>
      <c r="K1" s="35" t="inlineStr">
        <is>
          <t>Angle</t>
        </is>
      </c>
      <c r="L1" s="35" t="inlineStr">
        <is>
          <t>Objet suggéré</t>
        </is>
      </c>
      <c r="M1" s="35" t="inlineStr">
        <is>
          <t>Salutation</t>
        </is>
      </c>
      <c r="N1" s="35" t="inlineStr">
        <is>
          <t>Brouillon</t>
        </is>
      </c>
      <c r="O1" s="56" t="inlineStr">
        <is>
          <t>Registre</t>
        </is>
      </c>
    </row>
    <row r="2" ht="240" customHeight="1" s="26">
      <c r="A2" s="36" t="inlineStr">
        <is>
          <t>Sylvain Larocque</t>
        </is>
      </c>
      <c r="B2" s="36" t="inlineStr">
        <is>
          <t>Québecor Média</t>
        </is>
      </c>
      <c r="C2" s="36" t="inlineStr">
        <is>
          <t>sylvain.larocque@quebecormedia.com</t>
        </is>
      </c>
      <c r="D2" s="36" t="inlineStr">
        <is>
          <t>2026-05-26</t>
        </is>
      </c>
      <c r="E2" s="37" t="inlineStr">
        <is>
          <t>Transfert en Tunisie</t>
        </is>
      </c>
      <c r="F2" s="36" t="inlineStr">
        <is>
          <t>Missive — boîte LAS Media</t>
        </is>
      </c>
      <c r="G2" s="36" t="inlineStr">
        <is>
          <t>Correspondance confirmée</t>
        </is>
      </c>
      <c r="H2" s="38" t="inlineStr">
        <is>
          <t>2026-09-16 10:15</t>
        </is>
      </c>
      <c r="I2" s="38" t="n"/>
      <c r="J2" s="39" t="n"/>
      <c r="K2" s="25" t="inlineStr">
        <is>
          <t>A</t>
        </is>
      </c>
      <c r="L2" s="25" t="inlineStr">
        <is>
          <t>L'asclépiade à Dragons' Den le 17 septembre!</t>
        </is>
      </c>
      <c r="M2" s="25" t="inlineStr">
        <is>
          <t>Bonjour Sylvain,</t>
        </is>
      </c>
      <c r="N2" s="46" t="inlineStr">
        <is>
          <t>Bonjour M. Larocque,
En mai dernier, nous avons discuté au téléphone suite à quoi, votre article sur le déménagement de notre production textile en Tunisie a été publié et TRÈS relayé.
Je vous en remercie sincèrement. Le sujet était délicat et vous l'avez traité avec justesse : de notre côté, le bilan de cet article est très positif.
Parmi mes projets avec tout le temps que j'allais sauver, il y avait de me concentrer sur « faire connaître l'asclépiade » au plus grand nombre de gens possible.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au dernier article.
Si ça vous intéresse d'en parler et de couvrir, notre kit média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2" s="25" t="inlineStr">
        <is>
          <t>vous</t>
        </is>
      </c>
    </row>
    <row r="3" ht="240" customHeight="1" s="26">
      <c r="A3" s="36" t="inlineStr">
        <is>
          <t>Stéphanie Bérubé</t>
        </is>
      </c>
      <c r="B3" s="36" t="inlineStr">
        <is>
          <t>La Presse</t>
        </is>
      </c>
      <c r="C3" s="36" t="inlineStr">
        <is>
          <t>sberube@lapresse.ca</t>
        </is>
      </c>
      <c r="D3" s="36" t="inlineStr">
        <is>
          <t>2026-02-23</t>
        </is>
      </c>
      <c r="E3" s="37" t="inlineStr">
        <is>
          <t>Article</t>
        </is>
      </c>
      <c r="F3" s="36" t="inlineStr">
        <is>
          <t>Missive — boîte LAS Media</t>
        </is>
      </c>
      <c r="G3" s="36" t="inlineStr">
        <is>
          <t>Correspondance confirmée</t>
        </is>
      </c>
      <c r="H3" s="38" t="inlineStr">
        <is>
          <t>2026-09-16 10:16</t>
        </is>
      </c>
      <c r="I3" s="38" t="n"/>
      <c r="J3" s="39" t="n"/>
      <c r="K3" s="25" t="inlineStr">
        <is>
          <t>A</t>
        </is>
      </c>
      <c r="L3" s="25" t="inlineStr">
        <is>
          <t>L'asclépiade à Dragons' Den le 17 septembre!</t>
        </is>
      </c>
      <c r="M3" s="25" t="inlineStr">
        <is>
          <t>Bonjour Stéphanie,</t>
        </is>
      </c>
      <c r="N3" s="46" t="inlineStr">
        <is>
          <t>Bonjour Stéphanie,
J'espère que tu vas bien. En février dernier, tu as signé « La sinueuse route de la soie du Nord », un des rares textes à avoir pris la filière au complet plutôt qu'une entreprise à la fois. Merci pour ce bel article, qui a fait une place de choix à Lasclay et à ses défis.
Depuis, tout mon temps va à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t'en faire part et qui sait, peut-être t'inspirer une suite à ton dernier article.
Si ça t'intéresse d'en parler et de couvrir, notre kit média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O3" s="25" t="inlineStr">
        <is>
          <t>tu</t>
        </is>
      </c>
    </row>
    <row r="4" ht="240" customHeight="1" s="26">
      <c r="A4" s="36" t="inlineStr">
        <is>
          <t>Chloé Pouliot</t>
        </is>
      </c>
      <c r="B4" s="36" t="inlineStr">
        <is>
          <t>Le Soleil</t>
        </is>
      </c>
      <c r="C4" s="36" t="inlineStr">
        <is>
          <t>cpouliot@lesoleil.com</t>
        </is>
      </c>
      <c r="D4" s="36" t="inlineStr">
        <is>
          <t>2025-12-01</t>
        </is>
      </c>
      <c r="E4" s="37" t="inlineStr">
        <is>
          <t>Demande média / Le Soleil</t>
        </is>
      </c>
      <c r="F4" s="36" t="inlineStr">
        <is>
          <t>Missive — boîte LAS Media</t>
        </is>
      </c>
      <c r="G4" s="36" t="inlineStr">
        <is>
          <t>Correspondance confirmée</t>
        </is>
      </c>
      <c r="H4" s="38" t="inlineStr">
        <is>
          <t>2026-09-16 10:16</t>
        </is>
      </c>
      <c r="I4" s="38" t="n"/>
      <c r="J4" s="39" t="n"/>
      <c r="K4" s="25" t="inlineStr">
        <is>
          <t>A</t>
        </is>
      </c>
      <c r="L4" s="25" t="inlineStr">
        <is>
          <t>L'asclépiade à Dragons' Den le 17 septembre!</t>
        </is>
      </c>
      <c r="M4" s="25" t="inlineStr">
        <is>
          <t>Bonjour Chloé,</t>
        </is>
      </c>
      <c r="N4" s="46" t="inlineStr">
        <is>
          <t>Bonjour Chloé,
J'espère que tu vas bien. Tu as peut-être vu passer mon vidéo portant sur notre changement de modèle manufacturier (https://www.youtube.com/watch?v=GKyHh-Ok9JU) ou l'article de Sylvain Larocque en mai dernier sur ce sujet. C'est en quelque sorte une suite logique à l'article « Lasclay devant le dilemme de fabriquer au Québec » que tu avais publié en décembre dernier.
Merci encore pour ce texte, d'ailleurs. Tu avais posé le dilemme sans le trancher à ma place, et c'est exactement comme ça qu'il fallait le poser.
Neuf mois plus tard, le dilemme est tranché et il tient : l'asclépiade et l'isolant restent à Limoilou, la coquille se fait en Tunisie, et le manteau se vend autour de 300 $.
Parmi les raisons de ce changement, il y avait clairement que j'avais besoin de temps pour me recentrer sur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t'en faire part et qui sait, peut-être t'inspirer une suite à ton dernier article.
Si ça t'intéresse d'en parler et de couvrir, notre kit média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O4" s="25" t="inlineStr">
        <is>
          <t>tu</t>
        </is>
      </c>
    </row>
    <row r="5" ht="240" customHeight="1" s="26">
      <c r="A5" s="36" t="inlineStr">
        <is>
          <t>Melissa Paquet</t>
        </is>
      </c>
      <c r="B5" s="36" t="inlineStr">
        <is>
          <t>TVA</t>
        </is>
      </c>
      <c r="C5" s="36" t="inlineStr">
        <is>
          <t>melissa.paquet@tva.ca</t>
        </is>
      </c>
      <c r="D5" s="36" t="inlineStr">
        <is>
          <t>2025-09-17</t>
        </is>
      </c>
      <c r="E5" s="37" t="inlineStr">
        <is>
          <t>Entrevue — Pleins feux sur Québec</t>
        </is>
      </c>
      <c r="F5" s="36" t="inlineStr">
        <is>
          <t>Missive — boîte LAS Media</t>
        </is>
      </c>
      <c r="G5" s="36" t="inlineStr">
        <is>
          <t>Correspondance confirmée</t>
        </is>
      </c>
      <c r="H5" s="38" t="inlineStr">
        <is>
          <t>2026-09-16 10:17</t>
        </is>
      </c>
      <c r="I5" s="38" t="n"/>
      <c r="J5" s="39" t="n"/>
      <c r="K5" s="25" t="inlineStr">
        <is>
          <t>I</t>
        </is>
      </c>
      <c r="L5" s="25" t="inlineStr">
        <is>
          <t>L'asclépiade à Dragons' Den le 17 septembre!</t>
        </is>
      </c>
      <c r="M5" s="25" t="inlineStr">
        <is>
          <t>Bonjour Melissa,</t>
        </is>
      </c>
      <c r="N5" s="46" t="inlineStr">
        <is>
          <t>Bonjour Mme Paquet,
On s'était parlé en septembre dernier pour Pleins feux sur Québec. Merci pour la tribune de l'an dernier. Ce genre de couverture vaut cher pour une entreprise comme la nôtre.
Eh bien, le 17 septembre prochain, on va faire un autre grand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 je suis disponible pour une entrevue la semaine du 14 septembre et le vendredi 18 au matin.
Si ça t'intéresse d'en parler et de couvrir,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O5" s="25" t="inlineStr">
        <is>
          <t>tu</t>
        </is>
      </c>
    </row>
    <row r="6" ht="240" customHeight="1" s="26">
      <c r="A6" s="36" t="inlineStr">
        <is>
          <t>Anne-Sophie Roy</t>
        </is>
      </c>
      <c r="B6" s="36" t="inlineStr">
        <is>
          <t>Radio-Canada</t>
        </is>
      </c>
      <c r="C6" s="36" t="inlineStr">
        <is>
          <t>anne-sophie.roy@radio-canada.ca</t>
        </is>
      </c>
      <c r="D6" s="36" t="inlineStr">
        <is>
          <t>2025-03-13</t>
        </is>
      </c>
      <c r="E6" s="37" t="inlineStr">
        <is>
          <t>Reportage dropshipping et fraude en ligne</t>
        </is>
      </c>
      <c r="F6" s="36" t="inlineStr">
        <is>
          <t>Missive — boîte LAS Media</t>
        </is>
      </c>
      <c r="G6" s="36" t="inlineStr">
        <is>
          <t>Correspondance confirmée</t>
        </is>
      </c>
      <c r="H6" s="38" t="inlineStr">
        <is>
          <t>2026-09-16 10:17</t>
        </is>
      </c>
      <c r="I6" s="38" t="n"/>
      <c r="J6" s="39" t="n"/>
      <c r="K6" s="25" t="inlineStr">
        <is>
          <t>A</t>
        </is>
      </c>
      <c r="L6" s="25" t="inlineStr">
        <is>
          <t>L'asclépiade à Dragons' Den le 17 septembre!</t>
        </is>
      </c>
      <c r="M6" s="25" t="inlineStr">
        <is>
          <t>Bonjour Anne-Sophie,</t>
        </is>
      </c>
      <c r="N6" s="46" t="inlineStr">
        <is>
          <t>Bonjour Anne-Sophie,
Je voulais prendre un instant pour te partager une grande nouvelle, comme tu as couvert notre entreprise quelques fois: Le 17 septembre prochain,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t'intéresse de couvrir (ou un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O6" s="25" t="inlineStr">
        <is>
          <t>tu</t>
        </is>
      </c>
    </row>
    <row r="7" ht="240" customHeight="1" s="26">
      <c r="A7" s="36" t="inlineStr">
        <is>
          <t>Annie Lafrance</t>
        </is>
      </c>
      <c r="B7" s="36" t="inlineStr">
        <is>
          <t>Le Soleil</t>
        </is>
      </c>
      <c r="C7" s="36" t="inlineStr">
        <is>
          <t>alafrance@lesoleil.com</t>
        </is>
      </c>
      <c r="D7" s="36" t="inlineStr">
        <is>
          <t>2024-03-06</t>
        </is>
      </c>
      <c r="E7" s="37" t="inlineStr">
        <is>
          <t>Section Affaires</t>
        </is>
      </c>
      <c r="F7" s="36" t="inlineStr">
        <is>
          <t>Missive — boîte LAS Media</t>
        </is>
      </c>
      <c r="G7" s="36" t="inlineStr">
        <is>
          <t>Correspondance confirmée</t>
        </is>
      </c>
      <c r="H7" s="38" t="inlineStr">
        <is>
          <t>2026-09-16 10:18</t>
        </is>
      </c>
      <c r="I7" s="38" t="n"/>
      <c r="J7" s="39" t="n"/>
      <c r="K7" s="25" t="inlineStr">
        <is>
          <t>A</t>
        </is>
      </c>
      <c r="L7" s="25" t="inlineStr">
        <is>
          <t>L'asclépiade à Dragons' Den le 17 septembre!</t>
        </is>
      </c>
      <c r="M7" s="25" t="inlineStr">
        <is>
          <t>Bonjour Annie,</t>
        </is>
      </c>
      <c r="N7" s="46" t="inlineStr">
        <is>
          <t>Bonjour Annie,
En avril 2024, dans ton super article sur nous du Soleil Affaires (merci encore d'ailleurs!), tu me citais disant que je croyais au potentiel de l'asclépiade depuis les débuts. On y croit encore et on est sur le point d'amener quelques personnes avec nous à travers le pays...
Le 17 septembre prochain, Lasclay sera dans le premier épisode de la 21e saison de Dragons' Den, sur CBC et CBC Gem.
Aller présenter notre entreprise et sa mission à la télévision nationale est une opportunité qui arrive bien rarement. Je voulais t'en faire part et qui sait, peut-être inspirer une suite à ton dernier article.
Si ça t'intéresse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O7" s="25" t="inlineStr">
        <is>
          <t>tu</t>
        </is>
      </c>
    </row>
    <row r="8" ht="240" customHeight="1" s="26">
      <c r="A8" s="36" t="inlineStr">
        <is>
          <t>Marie Tison</t>
        </is>
      </c>
      <c r="B8" s="36" t="inlineStr">
        <is>
          <t>La Presse</t>
        </is>
      </c>
      <c r="C8" s="36" t="inlineStr">
        <is>
          <t>mtison@lapresse.ca</t>
        </is>
      </c>
      <c r="D8" s="36" t="inlineStr">
        <is>
          <t>2023-11-29</t>
        </is>
      </c>
      <c r="E8" s="37" t="inlineStr">
        <is>
          <t>La Presse</t>
        </is>
      </c>
      <c r="F8" s="36" t="inlineStr">
        <is>
          <t>Missive — boîte LAS Media</t>
        </is>
      </c>
      <c r="G8" s="36" t="inlineStr">
        <is>
          <t>Correspondance confirmée</t>
        </is>
      </c>
      <c r="H8" s="38" t="inlineStr">
        <is>
          <t>2026-09-16 10:18</t>
        </is>
      </c>
      <c r="I8" s="38" t="n"/>
      <c r="J8" s="39" t="n"/>
      <c r="K8" s="25" t="inlineStr">
        <is>
          <t>A</t>
        </is>
      </c>
      <c r="L8" s="25" t="inlineStr">
        <is>
          <t>L'asclépiade à Dragons' Den le 17 septembre!</t>
        </is>
      </c>
      <c r="M8" s="25" t="inlineStr">
        <is>
          <t>Bonjour Marie,</t>
        </is>
      </c>
      <c r="N8" s="46" t="inlineStr">
        <is>
          <t>Bonjour Mme Tison,
En novembre 2021, vous aviez écrit « Le timide retour de l'asclépiade ». Le retour est pas mal moins timide qu'à l'époque : nous offrons maintenant plus de 40 produits d'asclépiade, incluant des soins pour la peau à base de l'huile de graines d'asclépiade
Merci d'avoir écrit sur la plante à une époque où il n'y avait presque rien à montrer. C'est le genre de texte qui aide une filière avant qu'elle existe.
Depuis, tout mon temps va à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8" s="25" t="inlineStr">
        <is>
          <t>vous</t>
        </is>
      </c>
    </row>
    <row r="9" ht="240" customHeight="1" s="26">
      <c r="A9" s="36" t="inlineStr">
        <is>
          <t>Hélène Roulot-Ganzmann</t>
        </is>
      </c>
      <c r="B9" s="36" t="inlineStr">
        <is>
          <t>Le Devoir</t>
        </is>
      </c>
      <c r="C9" s="36" t="inlineStr">
        <is>
          <t>hrganzmann@ledevoir.com</t>
        </is>
      </c>
      <c r="D9" s="36" t="inlineStr">
        <is>
          <t>2023-11-23</t>
        </is>
      </c>
      <c r="E9" s="37" t="inlineStr">
        <is>
          <t>Demande de produits</t>
        </is>
      </c>
      <c r="F9" s="36" t="inlineStr">
        <is>
          <t>Missive — boîte LAS Media</t>
        </is>
      </c>
      <c r="G9" s="36" t="inlineStr">
        <is>
          <t>Correspondance confirmée</t>
        </is>
      </c>
      <c r="H9" s="38" t="inlineStr">
        <is>
          <t>2026-09-16 10:19</t>
        </is>
      </c>
      <c r="I9" s="38" t="n"/>
      <c r="J9" s="39" t="n"/>
      <c r="K9" s="25" t="inlineStr">
        <is>
          <t>A</t>
        </is>
      </c>
      <c r="L9" s="25" t="inlineStr">
        <is>
          <t>L'asclépiade à Dragons' Den le 17 septembre!</t>
        </is>
      </c>
      <c r="M9" s="25" t="inlineStr">
        <is>
          <t>Bonjour Hélène,</t>
        </is>
      </c>
      <c r="N9" s="46" t="inlineStr">
        <is>
          <t>Bonjour Mme Roulot-Ganzmann,
On s'était parlé en novembre 2023 pour du matériel sur nos produits d'asclépiade. Merci de l'intérêt que vous nous aviez porté.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9" s="25" t="inlineStr">
        <is>
          <t>vous</t>
        </is>
      </c>
    </row>
    <row r="10" ht="240" customHeight="1" s="26">
      <c r="A10" s="36" t="inlineStr">
        <is>
          <t>Marie-Soleil Brault</t>
        </is>
      </c>
      <c r="B10" s="36" t="inlineStr">
        <is>
          <t>Le Soleil</t>
        </is>
      </c>
      <c r="C10" s="36" t="inlineStr">
        <is>
          <t>msbrault@lesoleil.com</t>
        </is>
      </c>
      <c r="D10" s="36" t="inlineStr">
        <is>
          <t>2023-01-30</t>
        </is>
      </c>
      <c r="E10" s="37" t="inlineStr">
        <is>
          <t>Article Le Soleil</t>
        </is>
      </c>
      <c r="F10" s="36" t="inlineStr">
        <is>
          <t>Missive — boîte LAS Media</t>
        </is>
      </c>
      <c r="G10" s="36" t="inlineStr">
        <is>
          <t>Correspondance confirmée</t>
        </is>
      </c>
      <c r="H10" s="38" t="inlineStr">
        <is>
          <t>2026-09-16 10:19</t>
        </is>
      </c>
      <c r="I10" s="38" t="n"/>
      <c r="J10" s="39" t="n"/>
      <c r="K10" s="25" t="inlineStr">
        <is>
          <t>A</t>
        </is>
      </c>
      <c r="L10" s="25" t="inlineStr">
        <is>
          <t>L'asclépiade à Dragons' Den le 17 septembre!</t>
        </is>
      </c>
      <c r="M10" s="25" t="inlineStr">
        <is>
          <t>Bonjour Marie-Soleil,</t>
        </is>
      </c>
      <c r="N10" s="46" t="inlineStr">
        <is>
          <t>Bonjour Marie-Soleil,
On s'était parlé en janvier 2023 pour Le Soleil. L'atelier est toujours dans Limoilou, et c'est encore là que la soie d'asclépiade devient de l'isolant. Merci encore pour cette belle couverture.
Depuis, on a fait beaucoup de chemin et on se concentre sur nos 2 grandes missions : faire connaître l'asclépiade et sauvegarder les monarques par la culture de l'asclépiade.
Eh bien, le 17 septembre prochain, on va faire un énorme pas dans la bonne direction :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t'intéresse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 pas à me contacter si tu as des questions.</t>
        </is>
      </c>
      <c r="O10" s="25" t="inlineStr">
        <is>
          <t>vous</t>
        </is>
      </c>
    </row>
    <row r="11" ht="240" customHeight="1" s="26">
      <c r="A11" s="36" t="inlineStr">
        <is>
          <t>Sandra Fillion</t>
        </is>
      </c>
      <c r="B11" s="36" t="inlineStr">
        <is>
          <t>Radio-Canada</t>
        </is>
      </c>
      <c r="C11" s="36" t="inlineStr">
        <is>
          <t>sandra.fillion@radio-canada.ca</t>
        </is>
      </c>
      <c r="D11" s="36" t="inlineStr">
        <is>
          <t>2023-01-05</t>
        </is>
      </c>
      <c r="E11" s="37" t="inlineStr">
        <is>
          <t>Asclépiade</t>
        </is>
      </c>
      <c r="F11" s="36" t="inlineStr">
        <is>
          <t>Missive — boîte LAS Media</t>
        </is>
      </c>
      <c r="G11" s="36" t="inlineStr">
        <is>
          <t>Correspondance confirmée</t>
        </is>
      </c>
      <c r="H11" s="38" t="inlineStr">
        <is>
          <t>2026-09-16 10:20</t>
        </is>
      </c>
      <c r="I11" s="38" t="n"/>
      <c r="J11" s="39" t="n"/>
      <c r="K11" s="25" t="inlineStr">
        <is>
          <t>A</t>
        </is>
      </c>
      <c r="L11" s="25" t="inlineStr">
        <is>
          <t>L'asclépiade à Dragons' Den le 17 septembre!</t>
        </is>
      </c>
      <c r="M11" s="25" t="inlineStr">
        <is>
          <t>Bonjour Sandra,</t>
        </is>
      </c>
      <c r="N11" s="46" t="inlineStr">
        <is>
          <t>Bonjour Mme Fillion,
On s'était parlé d'asclépiade en janvier 2023. Depuis, le statut du monarque comme espèce en voie de disparition a été confirmé au Canada, et les États-Unis ont proposé de l'inscrire comme menacée. La plante n'a jamais été aussi pertinente. Merci de vous y être intéressée à l'époque.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1" s="25" t="inlineStr">
        <is>
          <t>vous</t>
        </is>
      </c>
    </row>
    <row r="12" ht="240" customHeight="1" s="26">
      <c r="A12" s="36" t="inlineStr">
        <is>
          <t>Eugénie Émond</t>
        </is>
      </c>
      <c r="B12" s="36" t="inlineStr">
        <is>
          <t>Radio-Canada</t>
        </is>
      </c>
      <c r="C12" s="36" t="inlineStr">
        <is>
          <t>eugenie.emond@radio-canada.ca</t>
        </is>
      </c>
      <c r="D12" s="36" t="inlineStr">
        <is>
          <t>2022-09-01</t>
        </is>
      </c>
      <c r="E12" s="37" t="inlineStr">
        <is>
          <t>Entrevue — glacière d'asclépiade imprimée 3D</t>
        </is>
      </c>
      <c r="F12" s="36" t="inlineStr">
        <is>
          <t>Missive — boîte LAS Media</t>
        </is>
      </c>
      <c r="G12" s="36" t="inlineStr">
        <is>
          <t>Correspondance confirmée</t>
        </is>
      </c>
      <c r="H12" s="38" t="inlineStr">
        <is>
          <t>2026-09-16 10:20</t>
        </is>
      </c>
      <c r="I12" s="38" t="n"/>
      <c r="J12" s="39" t="n"/>
      <c r="K12" s="25" t="inlineStr">
        <is>
          <t>A</t>
        </is>
      </c>
      <c r="L12" s="25" t="inlineStr">
        <is>
          <t>L'asclépiade à Dragons' Den le 17 septembre!</t>
        </is>
      </c>
      <c r="M12" s="25" t="inlineStr">
        <is>
          <t>Bonjour Eugénie,</t>
        </is>
      </c>
      <c r="N12" s="46" t="inlineStr">
        <is>
          <t>Bonjour Mme Émond,
En septembre 2022, on s'était parlé de notre glacière d'asclépiade imprimée en 3D. On a continué à inventer nos propres procédés depuis, parce que personne d'autre ne les fait. Merci encore pour ce reportage.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2" s="25" t="inlineStr">
        <is>
          <t>vous</t>
        </is>
      </c>
    </row>
    <row r="13" ht="240" customHeight="1" s="26">
      <c r="A13" s="36" t="inlineStr">
        <is>
          <t>Marc Tison</t>
        </is>
      </c>
      <c r="B13" s="36" t="inlineStr">
        <is>
          <t>La Presse</t>
        </is>
      </c>
      <c r="C13" s="36" t="inlineStr">
        <is>
          <t>mtison1@lapresse.ca</t>
        </is>
      </c>
      <c r="D13" s="36" t="inlineStr">
        <is>
          <t>2021-09-20</t>
        </is>
      </c>
      <c r="E13" s="37" t="inlineStr">
        <is>
          <t>Entrevue — section Affaires</t>
        </is>
      </c>
      <c r="F13" s="36" t="inlineStr">
        <is>
          <t>Missive — boîte LAS Media</t>
        </is>
      </c>
      <c r="G13" s="36" t="inlineStr">
        <is>
          <t>Correspondance confirmée</t>
        </is>
      </c>
      <c r="H13" s="38" t="inlineStr">
        <is>
          <t>2026-09-16 10:21</t>
        </is>
      </c>
      <c r="I13" s="38" t="n"/>
      <c r="J13" s="39" t="n"/>
      <c r="K13" s="25" t="inlineStr">
        <is>
          <t>A</t>
        </is>
      </c>
      <c r="L13" s="25" t="inlineStr">
        <is>
          <t>L'asclépiade à Dragons' Den le 17 septembre!</t>
        </is>
      </c>
      <c r="M13" s="25" t="inlineStr">
        <is>
          <t>Bonjour Marc,</t>
        </is>
      </c>
      <c r="N13" s="46" t="inlineStr">
        <is>
          <t>Bonjour M. Tison,
On s'était parlé pour la section Affaires en septembre 2021, à l'époque où on venait de rapatrier notre production faute de sous-traitant prêt à toucher à la fibre. Le modèle a changé depuis : la vidéo est ici, https://www.youtube.com/watch?v=GKyHh-Ok9JU, et Sylvain Larocque en a parlé en mai. Merci encore : le texte a beaucoup circulé chez nos clients.
Parmi les raisons de ce changement, il y avait clairement que j'avais besoin de temps pour me recentrer sur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3" s="25" t="inlineStr">
        <is>
          <t>vous</t>
        </is>
      </c>
    </row>
    <row r="14" ht="240" customHeight="1" s="26">
      <c r="A14" s="36" t="inlineStr">
        <is>
          <t>Valérie Simard</t>
        </is>
      </c>
      <c r="B14" s="36" t="inlineStr">
        <is>
          <t>La Presse</t>
        </is>
      </c>
      <c r="C14" s="36" t="inlineStr">
        <is>
          <t>vsimard@lapresse.ca</t>
        </is>
      </c>
      <c r="D14" s="36" t="inlineStr">
        <is>
          <t>2021-09-17</t>
        </is>
      </c>
      <c r="E14" s="37" t="inlineStr">
        <is>
          <t>Demande média</t>
        </is>
      </c>
      <c r="F14" s="36" t="inlineStr">
        <is>
          <t>Missive — boîte LAS Media</t>
        </is>
      </c>
      <c r="G14" s="36" t="inlineStr">
        <is>
          <t>Correspondance confirmée</t>
        </is>
      </c>
      <c r="H14" s="38" t="inlineStr">
        <is>
          <t>2026-09-16 10:21</t>
        </is>
      </c>
      <c r="I14" s="38" t="n"/>
      <c r="J14" s="39" t="n"/>
      <c r="K14" s="25" t="inlineStr">
        <is>
          <t>A</t>
        </is>
      </c>
      <c r="L14" s="25" t="inlineStr">
        <is>
          <t>L'asclépiade à Dragons' Den le 17 septembre!</t>
        </is>
      </c>
      <c r="M14" s="25" t="inlineStr">
        <is>
          <t>Bonjour Valérie,</t>
        </is>
      </c>
      <c r="N14" s="46" t="inlineStr">
        <is>
          <t>Bonjour Mme Simard,
Vous aviez présenté nos mitaines isolées à l'asclépiade le 17 septembre 2021. Merci pour ce coup de pouce de la première heure.
Nous avons fait beaucoup de chemin depuis et le 17 septembre prochain, on va faire un autre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4" s="25" t="inlineStr">
        <is>
          <t>vous</t>
        </is>
      </c>
    </row>
    <row r="15" ht="240" customHeight="1" s="26">
      <c r="A15" s="36" t="inlineStr">
        <is>
          <t>Alex Perreault</t>
        </is>
      </c>
      <c r="B15" s="36" t="inlineStr">
        <is>
          <t>Radio-Canada</t>
        </is>
      </c>
      <c r="C15" s="36" t="inlineStr">
        <is>
          <t>alex.perreault@radio-canada.ca</t>
        </is>
      </c>
      <c r="D15" s="36" t="inlineStr">
        <is>
          <t>2021-07-22</t>
        </is>
      </c>
      <c r="E15" s="37" t="inlineStr">
        <is>
          <t>Entrevue Radio-Canada</t>
        </is>
      </c>
      <c r="F15" s="36" t="inlineStr">
        <is>
          <t>Missive — boîte LAS Media</t>
        </is>
      </c>
      <c r="G15" s="36" t="inlineStr">
        <is>
          <t>Correspondance confirmée</t>
        </is>
      </c>
      <c r="H15" s="38" t="inlineStr">
        <is>
          <t>2026-09-16 10:22</t>
        </is>
      </c>
      <c r="I15" s="38" t="n"/>
      <c r="J15" s="39" t="n"/>
      <c r="K15" s="25" t="inlineStr">
        <is>
          <t>A</t>
        </is>
      </c>
      <c r="L15" s="25" t="inlineStr">
        <is>
          <t>L'asclépiade à Dragons' Den le 17 septembre!</t>
        </is>
      </c>
      <c r="M15" s="25" t="inlineStr">
        <is>
          <t>Bonjour Alex,</t>
        </is>
      </c>
      <c r="N15" s="46" t="inlineStr">
        <is>
          <t>Bonjour M. Perreault,
On s'était parlé en juillet 2021. Merci de l'intérêt que vous nous aviez porté à l'époque : on partait de zéro.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 je suis disponible pour une entrevue la semaine du 14 septembre et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5" s="25" t="inlineStr">
        <is>
          <t>vous</t>
        </is>
      </c>
    </row>
    <row r="16" ht="240" customHeight="1" s="26">
      <c r="A16" s="36" t="inlineStr">
        <is>
          <t>Fanny Samson</t>
        </is>
      </c>
      <c r="B16" s="36" t="inlineStr">
        <is>
          <t>Radio-Canada</t>
        </is>
      </c>
      <c r="C16" s="36" t="inlineStr">
        <is>
          <t>fanny.samson@radio-canada.ca</t>
        </is>
      </c>
      <c r="D16" s="36" t="inlineStr">
        <is>
          <t>2021-03-13</t>
        </is>
      </c>
      <c r="E16" s="37" t="inlineStr">
        <is>
          <t>Reportage</t>
        </is>
      </c>
      <c r="F16" s="36" t="inlineStr">
        <is>
          <t>Missive — boîte LAS Media</t>
        </is>
      </c>
      <c r="G16" s="36" t="inlineStr">
        <is>
          <t>Correspondance confirmée</t>
        </is>
      </c>
      <c r="H16" s="38" t="inlineStr">
        <is>
          <t>2026-09-16 10:22</t>
        </is>
      </c>
      <c r="I16" s="38" t="n"/>
      <c r="J16" s="39" t="n"/>
      <c r="K16" s="25" t="inlineStr">
        <is>
          <t>A</t>
        </is>
      </c>
      <c r="L16" s="25" t="inlineStr">
        <is>
          <t>L'asclépiade à Dragons' Den le 17 septembre!</t>
        </is>
      </c>
      <c r="M16" s="25" t="inlineStr">
        <is>
          <t>Bonjour Fanny,</t>
        </is>
      </c>
      <c r="N16" s="46" t="inlineStr">
        <is>
          <t>Bonjour Mme Samson,
En mars 2021, vous aviez signé « Les grandes promesses de l'asclépiade, la soie d'Amérique ». Cinq ans plus tard, je peux vous dire lesquelles ont été tenues : il y a des produits finis, l'isolant se transforme toujours au Québec, on achète encore de l'asclépiade québécoise, et un manteau Lasclay se vend au prix très abordable de 300 $.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6" s="25" t="inlineStr">
        <is>
          <t>vous</t>
        </is>
      </c>
    </row>
    <row r="17" ht="240" customHeight="1" s="26">
      <c r="A17" s="36" t="inlineStr">
        <is>
          <t>Martin Ménard</t>
        </is>
      </c>
      <c r="B17" s="36" t="inlineStr">
        <is>
          <t>La Terre de chez nous</t>
        </is>
      </c>
      <c r="C17" s="36" t="inlineStr">
        <is>
          <t>mmenard@laterre.ca</t>
        </is>
      </c>
      <c r="D17" s="36" t="inlineStr">
        <is>
          <t>2021-01-26</t>
        </is>
      </c>
      <c r="E17" s="37" t="inlineStr">
        <is>
          <t>Entrevue La Terre</t>
        </is>
      </c>
      <c r="F17" s="36" t="inlineStr">
        <is>
          <t>Missive — boîte LAS Media</t>
        </is>
      </c>
      <c r="G17" s="36" t="inlineStr">
        <is>
          <t>Correspondance confirmée</t>
        </is>
      </c>
      <c r="H17" s="38" t="inlineStr">
        <is>
          <t>2026-09-16 10:23</t>
        </is>
      </c>
      <c r="I17" s="38" t="n"/>
      <c r="J17" s="39" t="n"/>
      <c r="K17" s="25" t="inlineStr">
        <is>
          <t>A</t>
        </is>
      </c>
      <c r="L17" s="25" t="inlineStr">
        <is>
          <t>L'asclépiade à Dragons' Den le 17 septembre!</t>
        </is>
      </c>
      <c r="M17" s="25" t="inlineStr">
        <is>
          <t>Bonjour Martin,</t>
        </is>
      </c>
      <c r="N17" s="46" t="inlineStr">
        <is>
          <t>Bonjour M. Ménard,
On s'était parlé à La Terre en janvier 2021. Cinq ans plus tard, on achète encore de l'asclépiade québécoise et on la transforme nous-mêmes à Québec. Merci d'avoir porté le sujet auprès des producteurs : c'est le lectorat qui compte le plus pour nous, sans champs il n'y a pas de fibre.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7" s="25" t="inlineStr">
        <is>
          <t>vous</t>
        </is>
      </c>
    </row>
    <row r="18" ht="240" customHeight="1" s="26">
      <c r="A18" s="36" t="inlineStr">
        <is>
          <t>Anne-Sophie Roy</t>
        </is>
      </c>
      <c r="B18" s="36" t="inlineStr">
        <is>
          <t>Québecor Média</t>
        </is>
      </c>
      <c r="C18" s="36" t="inlineStr">
        <is>
          <t>anne-sophie.roy@quebecormedia.com</t>
        </is>
      </c>
      <c r="D18" s="36" t="inlineStr">
        <is>
          <t>2020-12-13</t>
        </is>
      </c>
      <c r="E18" s="37" t="inlineStr">
        <is>
          <t>Série d'articles</t>
        </is>
      </c>
      <c r="F18" s="36" t="inlineStr">
        <is>
          <t>Missive — boîte LAS Media</t>
        </is>
      </c>
      <c r="G18" s="36" t="inlineStr">
        <is>
          <t>Correspondance confirmée</t>
        </is>
      </c>
      <c r="H18" s="38" t="n"/>
      <c r="I18" s="38" t="n"/>
      <c r="J18" s="39" t="n"/>
      <c r="K18" s="25" t="inlineStr">
        <is>
          <t>A</t>
        </is>
      </c>
      <c r="L18" s="25" t="inlineStr">
        <is>
          <t>—</t>
        </is>
      </c>
      <c r="M18" s="25" t="inlineStr">
        <is>
          <t>Bonjour Anne-Sophie,</t>
        </is>
      </c>
      <c r="N18" s="46" t="inlineStr">
        <is>
          <t>NE PAS ENVOYER — même journaliste que la ligne Radio-Canada, à une ancienne adresse. Écrire à anne-sophie.roy@radio-canada.ca. Garder cette adresse en réserve si l'autre rebondit.</t>
        </is>
      </c>
      <c r="O18" s="25" t="inlineStr">
        <is>
          <t>—</t>
        </is>
      </c>
    </row>
    <row r="19" ht="240" customHeight="1" s="26">
      <c r="A19" s="36" t="inlineStr">
        <is>
          <t>G. Roy</t>
        </is>
      </c>
      <c r="B19" s="36" t="inlineStr">
        <is>
          <t>Le Quotidien</t>
        </is>
      </c>
      <c r="C19" s="36" t="inlineStr">
        <is>
          <t>groy@lequotidien.com</t>
        </is>
      </c>
      <c r="D19" s="36" t="n"/>
      <c r="E19" s="37" t="n"/>
      <c r="F19" s="36" t="inlineStr">
        <is>
          <t>Fournie par Gabriel</t>
        </is>
      </c>
      <c r="G19" s="40" t="inlineStr">
        <is>
          <t>Non recoupée dans Missive</t>
        </is>
      </c>
      <c r="H19" s="38" t="inlineStr">
        <is>
          <t>2026-09-16 10:23</t>
        </is>
      </c>
      <c r="I19" s="38" t="n"/>
      <c r="J19" s="39" t="n"/>
      <c r="K19" s="25" t="inlineStr">
        <is>
          <t>A</t>
        </is>
      </c>
      <c r="L19" s="25" t="inlineStr">
        <is>
          <t>L'asclépiade à Dragons' Den le 17 septembre!</t>
        </is>
      </c>
      <c r="M19" s="25" t="inlineStr">
        <is>
          <t>Bonjour,</t>
        </is>
      </c>
      <c r="N19" s="46" t="inlineStr">
        <is>
          <t>Bonjour M. Roy,
En octobre 2020, vous avez écrit « La deuxième vie de l'asclépiade ». Vous avez été le tout premier journaliste à parler de nous. Et l'agriculteur du Lac-Saint-Jean (Sabin Tremblay de l'Ascension-de-Notre-Seigneur) qui vous avait donné envie du sujet est encore notre fournisseur aujourd'hui : six ans plus tard, l'asclépiade de chez vous se retrouve toujours dans nos produits, distribué à travers l'Amérique du Nord. Merci, sincèrement : on n'oublie pas qui a écrit le premier article, et le vôtre nous a servi de carte de visite pendant des années.
Le 17 septembre prochain, on va faire un autre énorme pas dans la bonne direction :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19" s="25" t="inlineStr">
        <is>
          <t>vous</t>
        </is>
      </c>
    </row>
    <row r="20" ht="240" customHeight="1" s="26">
      <c r="A20" s="36" t="inlineStr">
        <is>
          <t>Sophie Laforest</t>
        </is>
      </c>
      <c r="B20" s="36" t="inlineStr">
        <is>
          <t>Radio-Canada</t>
        </is>
      </c>
      <c r="C20" s="36" t="inlineStr">
        <is>
          <t>sophie.laforest@radio-canada.ca</t>
        </is>
      </c>
      <c r="D20" s="36" t="n"/>
      <c r="E20" s="37" t="n"/>
      <c r="F20" s="36" t="inlineStr">
        <is>
          <t>Fournie par Gabriel</t>
        </is>
      </c>
      <c r="G20" s="40" t="inlineStr">
        <is>
          <t>Non recoupée dans Missive</t>
        </is>
      </c>
      <c r="H20" s="38" t="inlineStr">
        <is>
          <t>2026-09-16 10:24</t>
        </is>
      </c>
      <c r="I20" s="38" t="n"/>
      <c r="J20" s="39" t="n"/>
      <c r="K20" s="25" t="inlineStr">
        <is>
          <t>A</t>
        </is>
      </c>
      <c r="L20" s="25" t="inlineStr">
        <is>
          <t>L'asclépiade à Dragons' Den le 17 septembre!</t>
        </is>
      </c>
      <c r="M20" s="25" t="inlineStr">
        <is>
          <t>Bonjour Sophie,</t>
        </is>
      </c>
      <c r="N20" s="46" t="inlineStr">
        <is>
          <t>Bonjour Mme Laforest,
Je m'appelle Gabriel Gouveia, fondateur de Lasclay. On isole des vêtements d'hiver avec une mauvaise herbe : l'asclépiade, qu'on cultive pour sauvegarder un pollinisateur emblématique et menacé, le papillon monarque.
Depuis 5 ans, on travaille fort à la faire connaître et le 17 septembre prochain, on va faire un énorme pas dans la bonne direction :
Je vais présenter Lasclay dans le premier épisode de la 21e saison de Dragons' Den, sur CBC et CBC Gem.
Aller parler de cette fibre québécoise unique à la télévision nationale est une opportunité qui arrive bien rarement. Je voulais vous en faire part : je suis disponible pour une entrevue la semaine du 14 septembre et le vendredi 18 au matin.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20" s="25" t="inlineStr">
        <is>
          <t>vous</t>
        </is>
      </c>
    </row>
    <row r="21" ht="240" customHeight="1" s="26">
      <c r="A21" s="36" t="inlineStr">
        <is>
          <t>Alain McKenna</t>
        </is>
      </c>
      <c r="B21" s="36" t="inlineStr">
        <is>
          <t>Le Devoir</t>
        </is>
      </c>
      <c r="C21" s="36" t="inlineStr">
        <is>
          <t>amckenna@ledevoir.com</t>
        </is>
      </c>
      <c r="D21" s="36" t="inlineStr">
        <is>
          <t>2021-12-24</t>
        </is>
      </c>
      <c r="E21" s="37" t="inlineStr">
        <is>
          <t>Des écouteurs de Québec pour oublier les AirPods (Sounds Good)</t>
        </is>
      </c>
      <c r="F21" s="36" t="inlineStr">
        <is>
          <t>Lien fourni par Gabriel</t>
        </is>
      </c>
      <c r="G21" s="40" t="inlineStr">
        <is>
          <t>Correspondance confirmée</t>
        </is>
      </c>
      <c r="H21" s="38" t="inlineStr">
        <is>
          <t>2026-09-16 10:24</t>
        </is>
      </c>
      <c r="I21" s="38" t="n"/>
      <c r="J21" s="39" t="inlineStr">
        <is>
          <t>A couvert Sounds Good, la première entreprise de Gabriel, à l'époque des trois associés. Gabriel a vendu ses parts en 2022 : le dire d'entrée, McKenna suit encore Sounds Good.</t>
        </is>
      </c>
      <c r="K21" s="25" t="inlineStr">
        <is>
          <t>A</t>
        </is>
      </c>
      <c r="L21" s="25" t="inlineStr">
        <is>
          <t>L'asclépiade à Dragons' Den le 17 septembre!</t>
        </is>
      </c>
      <c r="M21" s="25" t="inlineStr">
        <is>
          <t>Bonjour Alain,</t>
        </is>
      </c>
      <c r="N21" s="46" t="inlineStr">
        <is>
          <t>Bonjour M. McKenna,
En décembre 2021, vous avez couvert mes deux entreprises Sounds Good et Lasclay dans l'article « Des écouteurs de Québec pour oublier les AirPods ». J'étais un des trois. J'ai vendu mes parts de Sounds Good en 2022 pour me consacrer entièrement à Lasclay et depuis, on développe de nombreux produits et technologies en se concentrant sur nos 2 grandes missions : faire connaître l'asclépiade à travers le monde et sauvegarder les monarques par la culture de l'asclépiade.
Eh bien, le 17 septembre prochain, on va faire un énorme pas dans la bonne direction : Lasclay sera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21" s="25" t="inlineStr">
        <is>
          <t>vous</t>
        </is>
      </c>
    </row>
    <row r="22" ht="240" customHeight="1" s="26">
      <c r="A22" s="36" t="inlineStr">
        <is>
          <t>Sylvie Lemieux</t>
        </is>
      </c>
      <c r="B22" s="36" t="inlineStr">
        <is>
          <t>Pigiste</t>
        </is>
      </c>
      <c r="C22" s="36" t="inlineStr">
        <is>
          <t>sylvielemieux16@gmail.com</t>
        </is>
      </c>
      <c r="D22" s="36" t="n"/>
      <c r="E22" s="37" t="n"/>
      <c r="F22" s="36" t="inlineStr">
        <is>
          <t>Fournie par Gabriel</t>
        </is>
      </c>
      <c r="G22" s="40" t="inlineStr">
        <is>
          <t>Non recoupée dans Missive</t>
        </is>
      </c>
      <c r="H22" s="38" t="inlineStr">
        <is>
          <t>2026-09-16 10:25</t>
        </is>
      </c>
      <c r="I22" s="38" t="n"/>
      <c r="J22" s="39" t="n"/>
      <c r="K22" s="25" t="inlineStr">
        <is>
          <t>A</t>
        </is>
      </c>
      <c r="L22" s="25" t="inlineStr">
        <is>
          <t>L'asclépiade à Dragons' Den le 17 septembre!</t>
        </is>
      </c>
      <c r="M22" s="25" t="inlineStr">
        <is>
          <t>Bonjour Sylvie,</t>
        </is>
      </c>
      <c r="N22" s="46" t="inlineStr">
        <is>
          <t>Bonjour Mme Lemieux,
En décembre 2021, vous aviez écrit « Les deux mains dans l'écoresponsabilité » pour le Journal de Montréal. Notre modèle manufacturier a changé depuis, et j'en ai fait une vidéo ici : https://www.youtube.com/watch?v=GKyHh-Ok9JU.
Parmi les raisons de ce changement, il y avait clairement que j'avais besoin de temps pour me recentrer sur mes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22" s="25" t="inlineStr">
        <is>
          <t>vous</t>
        </is>
      </c>
    </row>
    <row r="23" ht="240" customHeight="1" s="26">
      <c r="A23" s="36" t="inlineStr">
        <is>
          <t>Sophie Grenier-Héroux</t>
        </is>
      </c>
      <c r="B23" s="36" t="inlineStr">
        <is>
          <t>Pigiste</t>
        </is>
      </c>
      <c r="C23" s="36" t="inlineStr">
        <is>
          <t>sophiegrenierheroux@hotmail.com</t>
        </is>
      </c>
      <c r="D23" s="36" t="n"/>
      <c r="E23" s="37" t="n"/>
      <c r="F23" s="36" t="inlineStr">
        <is>
          <t>Fournie par Gabriel</t>
        </is>
      </c>
      <c r="G23" s="40" t="inlineStr">
        <is>
          <t>Non recoupée dans Missive</t>
        </is>
      </c>
      <c r="H23" s="38" t="inlineStr">
        <is>
          <t>2026-09-16 10:26</t>
        </is>
      </c>
      <c r="I23" s="38" t="n"/>
      <c r="J23" s="39" t="n"/>
      <c r="K23" s="25" t="inlineStr">
        <is>
          <t>A</t>
        </is>
      </c>
      <c r="L23" s="25" t="inlineStr">
        <is>
          <t>L'asclépiade à Dragons' Den le 17 septembre!</t>
        </is>
      </c>
      <c r="M23" s="25" t="inlineStr">
        <is>
          <t>Bonjour Sophie,</t>
        </is>
      </c>
      <c r="N23" s="46" t="inlineStr">
        <is>
          <t>Bonjour Mme Grenier-Héroux,
En janvier 2021, vous aviez écrit « La soie d'Amérique, le pari de deux ambitieux » dans Le Devoir. Le pari a six ans, et il tient : plus de 40 produits, environ 10 millions de graines distribuées, et un isolant toujours transformé à Limoilou. Merci encore pour cet article.
On se concentre sur nos 2 grandes missions : faire connaître l'asclépiade et sauvegarder les monarques par la culture de l'asclépiade.
Eh bien, le 17 septembre prochain,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une suite à votre dernier article.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23" s="25" t="inlineStr">
        <is>
          <t>vous</t>
        </is>
      </c>
    </row>
    <row r="24" ht="240" customHeight="1" s="26">
      <c r="A24" s="36" t="inlineStr">
        <is>
          <t>Madeleine Goubau</t>
        </is>
      </c>
      <c r="B24" s="36" t="inlineStr">
        <is>
          <t>Pigiste</t>
        </is>
      </c>
      <c r="C24" s="36" t="inlineStr">
        <is>
          <t>madeleine.goubau@gmail.com</t>
        </is>
      </c>
      <c r="D24" s="36" t="n"/>
      <c r="E24" s="37" t="n"/>
      <c r="F24" s="36" t="inlineStr">
        <is>
          <t>Fournie par Gabriel</t>
        </is>
      </c>
      <c r="G24" s="40" t="inlineStr">
        <is>
          <t>Non recoupée dans Missive</t>
        </is>
      </c>
      <c r="H24" s="38" t="inlineStr">
        <is>
          <t>2026-09-16 10:26</t>
        </is>
      </c>
      <c r="I24" s="38" t="n"/>
      <c r="J24" s="39" t="n"/>
      <c r="K24" s="25" t="inlineStr">
        <is>
          <t>A</t>
        </is>
      </c>
      <c r="L24" s="25" t="inlineStr">
        <is>
          <t>L'asclépiade à Dragons' Den le 17 septembre!</t>
        </is>
      </c>
      <c r="M24" s="25" t="inlineStr">
        <is>
          <t>Bonjour Madeleine,</t>
        </is>
      </c>
      <c r="N24" s="46" t="inlineStr">
        <is>
          <t>Bonjour Mme Goubau,
Je m'appelle Gabriel Gouveia, fondateur de Lasclay. On isole des vêtements d'hiver avec une mauvaise herbe : l'asclépiade, que vous connaissez bien je pense.
Depuis 5 ans, on travaille fort à la faire connaître et le 17 septembre prochain, on va faire un énorme pas dans la bonne direction :
Je vais présenter Lasclay dans le premier épisode de la 21e saison de Dragons' Den, sur CBC et CBC Gem.
Aller parler de cette fibre québécoise unique à la télévision nationale est une opportunité qui arrive bien rarement. Je voulais vous en faire part et qui sait, peut-être vous inspirer un sujet.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24" s="25" t="inlineStr">
        <is>
          <t>vous</t>
        </is>
      </c>
    </row>
    <row r="25" ht="240" customHeight="1" s="26">
      <c r="A25" s="46" t="inlineStr">
        <is>
          <t>Jean-Michel Leprince</t>
        </is>
      </c>
      <c r="B25" s="46" t="inlineStr">
        <is>
          <t>Radio-Canada</t>
        </is>
      </c>
      <c r="C25" s="46" t="inlineStr">
        <is>
          <t>jean-michel_leprince@radio-canada.ca</t>
        </is>
      </c>
      <c r="D25" s="46" t="inlineStr">
        <is>
          <t>2014-2019</t>
        </is>
      </c>
      <c r="E25" s="46" t="inlineStr">
        <is>
          <t>Reportages sur l'asclépiade au Téléjournal</t>
        </is>
      </c>
      <c r="F25" s="46" t="inlineStr">
        <is>
          <t>Recherche web</t>
        </is>
      </c>
      <c r="G25" s="46" t="inlineStr">
        <is>
          <t>Adresse à confirmer</t>
        </is>
      </c>
      <c r="H25" s="46" t="inlineStr">
        <is>
          <t>2026-09-16 10:27</t>
        </is>
      </c>
      <c r="I25" s="46" t="n"/>
      <c r="J25" s="46" t="inlineStr">
        <is>
          <t>A suivi l'asclépiade plus longtemps que quiconque au Québec, sans jamais couvrir Lasclay. Promu de la liste froide sur demande de Gabriel.</t>
        </is>
      </c>
      <c r="K25" s="46" t="inlineStr">
        <is>
          <t>J</t>
        </is>
      </c>
      <c r="L25" s="46" t="inlineStr">
        <is>
          <t>L'asclépiade à Dragons' Den!</t>
        </is>
      </c>
      <c r="M25" s="46" t="n"/>
      <c r="N25" s="46" t="inlineStr">
        <is>
          <t>Bonjour M. Leprince,
Je m'appelle Gabriel Gouveia, fondateur de Lasclay. On isole des vêtements d'hiver avec l'asclépiade, que vous connaissez probablement très bien de l'époque de vos reportages au Téléjournal.
On a démarré après la chute de la première filière. Six ans plus tard, on cultive et on transforme l'isolant nous-mêmes à Québec, en nous concentrant sur nos deux grandes missions: faire connaître l'asclépiade à travers le monde et sauvegarder le papillon monarque grâce aux plantations.
Le 17 septembre prochain, on va faire un énorme pas dans la bonne direction : Je vais présenter Lasclay dans le premier épisode de la 21e saison de Dragons' Den, sur CBC et CBC Gem.
Vous êtes probablement la personne au Québec qui a le plus longtemps suivi cette plante-là. Je voulais vous en faire part et qui sait, peut-être vous inspirer un sujet : ce serait la première fois qu'on raconte ce que la filière est devenue après la chute.
Si ça vous intéresse de couvrir (ou un.e collègue?), notre média kit est ici, avec les images de notre passage à Dragons' Den et de l'entreprise : https://drive.google.com/drive/folders/1pyCUbfHYQhpXXl4FoCC2RCFXKRvGS5Zr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c r="O25" s="46" t="inlineStr">
        <is>
          <t>vous</t>
        </is>
      </c>
    </row>
    <row r="26" ht="240" customHeight="1" s="26"/>
    <row r="27" ht="240" customHeight="1" s="26"/>
    <row r="28" ht="240" customHeight="1" s="26"/>
    <row r="29" ht="240" customHeight="1" s="26"/>
    <row r="30" ht="240" customHeight="1" s="26"/>
    <row r="31" ht="240" customHeight="1" s="26"/>
    <row r="32" ht="240" customHeight="1" s="26"/>
    <row r="33" ht="240" customHeight="1" s="26"/>
    <row r="34" ht="240" customHeight="1" s="26"/>
    <row r="35" ht="240" customHeight="1" s="26"/>
  </sheetData>
  <autoFilter ref="A1:J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S21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9" customWidth="1" style="25" min="1" max="1"/>
    <col width="18" customWidth="1" style="25" min="2" max="2"/>
    <col width="20" customWidth="1" style="25" min="3" max="3"/>
    <col width="40" customWidth="1" style="25" min="4" max="4"/>
    <col width="26" customWidth="1" style="25" min="5" max="5"/>
    <col width="36" customWidth="1" style="25" min="6" max="6"/>
    <col width="13" customWidth="1" style="25" min="7" max="7"/>
    <col width="26" customWidth="1" style="25" min="8" max="8"/>
    <col width="40" customWidth="1" style="25" min="9" max="9"/>
    <col width="12" customWidth="1" style="25" min="10" max="10"/>
    <col width="13" customWidth="1" style="25" min="11" max="12"/>
    <col width="22" customWidth="1" style="25" min="13" max="13"/>
    <col width="30" customWidth="1" style="25" min="14" max="14"/>
    <col width="78" customWidth="1" style="26" min="19" max="19"/>
  </cols>
  <sheetData>
    <row r="1" ht="27.75" customHeight="1" s="26">
      <c r="A1" s="34" t="inlineStr">
        <is>
          <t>Priorité</t>
        </is>
      </c>
      <c r="B1" s="34" t="inlineStr">
        <is>
          <t>Prénom</t>
        </is>
      </c>
      <c r="C1" s="34" t="inlineStr">
        <is>
          <t>Nom</t>
        </is>
      </c>
      <c r="D1" s="34" t="inlineStr">
        <is>
          <t>Fonction</t>
        </is>
      </c>
      <c r="E1" s="34" t="inlineStr">
        <is>
          <t>Média</t>
        </is>
      </c>
      <c r="F1" s="34" t="inlineStr">
        <is>
          <t>Courriel</t>
        </is>
      </c>
      <c r="G1" s="34" t="inlineStr">
        <is>
          <t>Téléphone</t>
        </is>
      </c>
      <c r="H1" s="34" t="inlineStr">
        <is>
          <t>Région</t>
        </is>
      </c>
      <c r="I1" s="34" t="inlineStr">
        <is>
          <t>Secteurs pertinents</t>
        </is>
      </c>
      <c r="J1" s="34" t="inlineStr">
        <is>
          <t>Déjà contacté</t>
        </is>
      </c>
      <c r="K1" s="34" t="inlineStr">
        <is>
          <t>Fiche FPJQ</t>
        </is>
      </c>
      <c r="L1" s="34" t="inlineStr">
        <is>
          <t>Envoyé le</t>
        </is>
      </c>
      <c r="M1" s="34" t="inlineStr">
        <is>
          <t>Réponse</t>
        </is>
      </c>
      <c r="N1" s="34" t="inlineStr">
        <is>
          <t>Notes</t>
        </is>
      </c>
      <c r="O1" s="35" t="inlineStr">
        <is>
          <t>Angle</t>
        </is>
      </c>
      <c r="P1" s="35" t="inlineStr">
        <is>
          <t>Objet suggéré</t>
        </is>
      </c>
      <c r="Q1" s="35" t="inlineStr">
        <is>
          <t>Salutation</t>
        </is>
      </c>
      <c r="R1" s="35" t="inlineStr">
        <is>
          <t>Précaution</t>
        </is>
      </c>
      <c r="S1" s="35" t="inlineStr">
        <is>
          <t>Brouillon</t>
        </is>
      </c>
    </row>
    <row r="2" ht="240" customHeight="1" s="26">
      <c r="A2" s="41" t="inlineStr">
        <is>
          <t>A</t>
        </is>
      </c>
      <c r="B2" s="36" t="inlineStr">
        <is>
          <t>Marie</t>
        </is>
      </c>
      <c r="C2" s="36" t="inlineStr">
        <is>
          <t>Allard</t>
        </is>
      </c>
      <c r="D2" s="37" t="inlineStr">
        <is>
          <t>Directrice générale et éditrice</t>
        </is>
      </c>
      <c r="E2" s="36" t="inlineStr">
        <is>
          <t>Publications BLD inc</t>
        </is>
      </c>
      <c r="F2" s="36" t="inlineStr">
        <is>
          <t>marie.allard@lesdebrouillards.com</t>
        </is>
      </c>
      <c r="G2" s="36" t="inlineStr">
        <is>
          <t>514 208-5083</t>
        </is>
      </c>
      <c r="H2" s="36" t="inlineStr">
        <is>
          <t>Montréal</t>
        </is>
      </c>
      <c r="I2" s="37" t="inlineStr">
        <is>
          <t>Agriculture; Art de vivre; Consommation; Environnement; Sciences</t>
        </is>
      </c>
      <c r="J2" s="36" t="n"/>
      <c r="K2" s="42" t="inlineStr">
        <is>
          <t>Ouvrir</t>
        </is>
      </c>
      <c r="L2" s="38" t="inlineStr">
        <is>
          <t>2026-09-16 10:38</t>
        </is>
      </c>
      <c r="M2" s="38" t="n"/>
      <c r="N2" s="39" t="n"/>
      <c r="O2" s="25" t="inlineStr">
        <is>
          <t>C</t>
        </is>
      </c>
      <c r="P2" s="25" t="inlineStr">
        <is>
          <t>L'asclépiade à Dragons' Den le 17 sept!</t>
        </is>
      </c>
      <c r="Q2" s="25" t="inlineStr">
        <is>
          <t>Bonjour Marie,</t>
        </is>
      </c>
      <c r="S2" s="46" t="inlineStr">
        <is>
          <t>Bonjour Marie,
Je m'appelle Gabriel Gouveia, fondateur de [Lasclay](https://lasclay.com). On isole des vêtements d'hiver avec une mauvaise herbe, l'asclépiade, qu'on cultive pour sauvegarder un pollinisateur emblématique et menacé : le papillon monarque.
Il y a une belle histoire de sciences dans l'asclépiade. La soie attachée à ses graines n'est pas un poil : c'est un tube creux enduit d'une cire hydrophobe, et les fibres portent une charge qui les fait se repousser. C'est ce qui forme le parachute autour de la graine, et c'est ce qui emprisonne l'air. Chaque follicule en produit plus de 200.
On en fait de l'isolant pour des manteaux et des mitaines. Et c'est la seule plante que les chenilles du monarque peuvent manger, ce qui est toute la raison d'être de l'entreprise.
Ce jeudi 17 septembre, on va faire un énorme pas dans la bonne direction :
Je vais présenter Lasclay dans le premier épisode de la 21e saison de Dragons' Den, sur CBC et CBC Gem.
Je voulais vous en faire part et qui sait, peut-être vous inspirer un sujet. L'atelier de Limoilou est ouvert si vos lecteurs aimeraient voir comment une gousse devient un manteau.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 ht="240" customHeight="1" s="26">
      <c r="A3" s="41" t="inlineStr">
        <is>
          <t>A</t>
        </is>
      </c>
      <c r="B3" s="36" t="inlineStr">
        <is>
          <t>Zoé</t>
        </is>
      </c>
      <c r="C3" s="36" t="inlineStr">
        <is>
          <t>Allemand</t>
        </is>
      </c>
      <c r="D3" s="37" t="inlineStr">
        <is>
          <t>journaliste</t>
        </is>
      </c>
      <c r="E3" s="36" t="inlineStr">
        <is>
          <t>Pigiste</t>
        </is>
      </c>
      <c r="F3" s="36" t="inlineStr">
        <is>
          <t>zoe.allemand@hotmail.com</t>
        </is>
      </c>
      <c r="G3" s="36" t="n"/>
      <c r="H3" s="36" t="inlineStr">
        <is>
          <t>Est-du-Québec</t>
        </is>
      </c>
      <c r="I3" s="37" t="inlineStr">
        <is>
          <t>Agriculture; Art de vivre; Consommation; Plein air</t>
        </is>
      </c>
      <c r="J3" s="36" t="n"/>
      <c r="K3" s="42" t="inlineStr">
        <is>
          <t>Ouvrir</t>
        </is>
      </c>
      <c r="L3" s="38" t="inlineStr">
        <is>
          <t>2026-09-16 10:39</t>
        </is>
      </c>
      <c r="M3" s="38" t="n"/>
      <c r="N3" s="39" t="n"/>
      <c r="O3" s="25" t="inlineStr">
        <is>
          <t>C</t>
        </is>
      </c>
      <c r="P3" s="25" t="inlineStr">
        <is>
          <t>L'asclépiade à Dragons' Den le 17 sept!</t>
        </is>
      </c>
      <c r="Q3" s="25" t="inlineStr">
        <is>
          <t>Bonjour Zoé,</t>
        </is>
      </c>
      <c r="R3" s="25" t="inlineStr">
        <is>
          <t>Adresse personnelle : individualiser vraiment</t>
        </is>
      </c>
      <c r="S3" s="46" t="inlineStr">
        <is>
          <t>Bonjour Zoé,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 ht="240" customHeight="1" s="26">
      <c r="A4" s="41" t="inlineStr">
        <is>
          <t>A</t>
        </is>
      </c>
      <c r="B4" s="36" t="inlineStr">
        <is>
          <t>Victoria</t>
        </is>
      </c>
      <c r="C4" s="36" t="inlineStr">
        <is>
          <t>Bakos</t>
        </is>
      </c>
      <c r="D4" s="37" t="inlineStr">
        <is>
          <t>Journaliste</t>
        </is>
      </c>
      <c r="E4" s="36" t="inlineStr">
        <is>
          <t>Pigiste</t>
        </is>
      </c>
      <c r="F4" s="36" t="inlineStr">
        <is>
          <t>victoria_bakos@hotmail.com</t>
        </is>
      </c>
      <c r="G4" s="36" t="n"/>
      <c r="H4" s="36" t="inlineStr">
        <is>
          <t>Laval</t>
        </is>
      </c>
      <c r="I4" s="37" t="inlineStr">
        <is>
          <t>Art de vivre; Consommation; Environnement; Mode et beauté; Économie</t>
        </is>
      </c>
      <c r="J4" s="36" t="n"/>
      <c r="K4" s="42" t="inlineStr">
        <is>
          <t>Ouvrir</t>
        </is>
      </c>
      <c r="L4" s="38" t="inlineStr">
        <is>
          <t>2026-09-16 10:39</t>
        </is>
      </c>
      <c r="M4" s="38" t="n"/>
      <c r="N4" s="39" t="n"/>
      <c r="O4" s="25" t="inlineStr">
        <is>
          <t>G</t>
        </is>
      </c>
      <c r="P4" s="25" t="inlineStr">
        <is>
          <t>L'asclépiade à Dragons' Den!</t>
        </is>
      </c>
      <c r="Q4" s="25" t="inlineStr">
        <is>
          <t>Bonjour Victoria,</t>
        </is>
      </c>
      <c r="R4" s="25" t="inlineStr">
        <is>
          <t>Adresse personnelle : individualiser vraiment</t>
        </is>
      </c>
      <c r="S4" s="46" t="inlineStr">
        <is>
          <t>Bonjour Victoria,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 ht="240" customHeight="1" s="26">
      <c r="A5" s="41" t="inlineStr">
        <is>
          <t>A</t>
        </is>
      </c>
      <c r="B5" s="36" t="inlineStr">
        <is>
          <t>Marie-Émélie</t>
        </is>
      </c>
      <c r="C5" s="36" t="inlineStr">
        <is>
          <t>Bernier</t>
        </is>
      </c>
      <c r="D5" s="37" t="inlineStr">
        <is>
          <t>Journaliste, chroniqueuse, photographe, pigiste</t>
        </is>
      </c>
      <c r="E5" s="36" t="inlineStr">
        <is>
          <t>Le Charlevoisien</t>
        </is>
      </c>
      <c r="F5" s="36" t="inlineStr">
        <is>
          <t>ebernier@lecharlevoisien.com</t>
        </is>
      </c>
      <c r="G5" s="36" t="inlineStr">
        <is>
          <t>418-435-0220</t>
        </is>
      </c>
      <c r="H5" s="36" t="inlineStr">
        <is>
          <t>Capitale-Nationale/Chaudière-Appalaches</t>
        </is>
      </c>
      <c r="I5" s="37" t="inlineStr">
        <is>
          <t>Agriculture; Art de vivre; Environnement; Plein air; Sciences</t>
        </is>
      </c>
      <c r="J5" s="36" t="n"/>
      <c r="K5" s="42" t="inlineStr">
        <is>
          <t>Ouvrir</t>
        </is>
      </c>
      <c r="L5" s="38" t="inlineStr">
        <is>
          <t>2026-09-16 10:40</t>
        </is>
      </c>
      <c r="M5" s="38" t="n"/>
      <c r="N5" s="39" t="n"/>
      <c r="O5" s="25" t="inlineStr">
        <is>
          <t>B</t>
        </is>
      </c>
      <c r="P5" s="25" t="inlineStr">
        <is>
          <t>L'asclépiade à Dragons' Den le 17 septembre!</t>
        </is>
      </c>
      <c r="Q5" s="25" t="inlineStr">
        <is>
          <t>Bonjour Marie-Émélie,</t>
        </is>
      </c>
      <c r="S5" s="46" t="inlineStr">
        <is>
          <t>Bonjour Marie-Émélie,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 ht="240" customHeight="1" s="26">
      <c r="A6" s="41" t="inlineStr">
        <is>
          <t>A</t>
        </is>
      </c>
      <c r="B6" s="36" t="inlineStr">
        <is>
          <t>Normand</t>
        </is>
      </c>
      <c r="C6" s="36" t="inlineStr">
        <is>
          <t>Blouin</t>
        </is>
      </c>
      <c r="D6" s="37" t="inlineStr">
        <is>
          <t>Photographe de presse</t>
        </is>
      </c>
      <c r="E6" s="36" t="inlineStr">
        <is>
          <t>Pigiste</t>
        </is>
      </c>
      <c r="F6" s="36" t="inlineStr">
        <is>
          <t>normandblouin@gmail.com</t>
        </is>
      </c>
      <c r="G6" s="36" t="inlineStr">
        <is>
          <t>15145765423</t>
        </is>
      </c>
      <c r="H6" s="36" t="inlineStr">
        <is>
          <t>Laurentides</t>
        </is>
      </c>
      <c r="I6" s="37" t="inlineStr">
        <is>
          <t>Agriculture; Art de vivre; Consommation; Environnement; Plein air</t>
        </is>
      </c>
      <c r="J6" s="36" t="n"/>
      <c r="K6" s="42" t="inlineStr">
        <is>
          <t>Ouvrir</t>
        </is>
      </c>
      <c r="L6" s="38" t="inlineStr">
        <is>
          <t>2026-09-16 10:40</t>
        </is>
      </c>
      <c r="M6" s="38" t="n"/>
      <c r="N6" s="39" t="n"/>
      <c r="O6" s="25" t="inlineStr">
        <is>
          <t>C</t>
        </is>
      </c>
      <c r="P6" s="25" t="inlineStr">
        <is>
          <t>L'asclépiade à Dragons' Den le 17 sept!</t>
        </is>
      </c>
      <c r="Q6" s="25" t="inlineStr">
        <is>
          <t>Bonjour Normand,</t>
        </is>
      </c>
      <c r="R6" s="25" t="inlineStr">
        <is>
          <t>Adresse personnelle : individualiser vraiment</t>
        </is>
      </c>
      <c r="S6" s="46" t="inlineStr">
        <is>
          <t>Bonjour Normand,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 ht="240" customHeight="1" s="26">
      <c r="A7" s="41" t="inlineStr">
        <is>
          <t>A</t>
        </is>
      </c>
      <c r="B7" s="36" t="inlineStr">
        <is>
          <t>Louise</t>
        </is>
      </c>
      <c r="C7" s="36" t="inlineStr">
        <is>
          <t>Bourbonnais</t>
        </is>
      </c>
      <c r="D7" s="37" t="inlineStr">
        <is>
          <t>Journaliste</t>
        </is>
      </c>
      <c r="E7" s="36" t="inlineStr">
        <is>
          <t>Le Journal de Montréal</t>
        </is>
      </c>
      <c r="F7" s="36" t="inlineStr">
        <is>
          <t>lbourbonnais@videotron.ca</t>
        </is>
      </c>
      <c r="G7" s="36" t="n"/>
      <c r="H7" s="36" t="inlineStr">
        <is>
          <t>Capitale-Nationale/Chaudière-Appalaches</t>
        </is>
      </c>
      <c r="I7" s="37" t="inlineStr">
        <is>
          <t>Art de vivre; Consommation</t>
        </is>
      </c>
      <c r="J7" s="36" t="n"/>
      <c r="K7" s="42" t="inlineStr">
        <is>
          <t>Ouvrir</t>
        </is>
      </c>
      <c r="L7" s="38" t="inlineStr">
        <is>
          <t>2026-09-16 10:41</t>
        </is>
      </c>
      <c r="M7" s="38" t="n"/>
      <c r="N7" s="39" t="n"/>
      <c r="O7" s="25" t="inlineStr">
        <is>
          <t>B</t>
        </is>
      </c>
      <c r="P7" s="25" t="inlineStr">
        <is>
          <t>L'asclépiade à Dragons' Den le 17 septembre!</t>
        </is>
      </c>
      <c r="Q7" s="25" t="inlineStr">
        <is>
          <t>Bonjour Louise,</t>
        </is>
      </c>
      <c r="R7" s="25" t="inlineStr">
        <is>
          <t>Adresse personnelle : individualiser vraiment</t>
        </is>
      </c>
      <c r="S7" s="46" t="inlineStr">
        <is>
          <t>Bonjour Louise,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 ht="240" customHeight="1" s="26">
      <c r="A8" s="41" t="inlineStr">
        <is>
          <t>A</t>
        </is>
      </c>
      <c r="B8" s="36" t="inlineStr">
        <is>
          <t>Francois</t>
        </is>
      </c>
      <c r="C8" s="36" t="inlineStr">
        <is>
          <t>Bourque</t>
        </is>
      </c>
      <c r="D8" s="37" t="inlineStr">
        <is>
          <t>journaliste</t>
        </is>
      </c>
      <c r="E8" s="36" t="inlineStr">
        <is>
          <t>Pigiste</t>
        </is>
      </c>
      <c r="F8" s="36" t="inlineStr">
        <is>
          <t>franbour2@videotron.ca</t>
        </is>
      </c>
      <c r="G8" s="36" t="n"/>
      <c r="H8" s="36" t="inlineStr">
        <is>
          <t>Capitale-Nationale/Chaudière-Appalaches</t>
        </is>
      </c>
      <c r="I8" s="37" t="inlineStr">
        <is>
          <t>Économie</t>
        </is>
      </c>
      <c r="J8" s="36" t="n"/>
      <c r="K8" s="42" t="inlineStr">
        <is>
          <t>Ouvrir</t>
        </is>
      </c>
      <c r="L8" s="38" t="inlineStr">
        <is>
          <t>2026-09-16 10:41</t>
        </is>
      </c>
      <c r="M8" s="38" t="n"/>
      <c r="N8" s="39" t="n"/>
      <c r="O8" s="25" t="inlineStr">
        <is>
          <t>E</t>
        </is>
      </c>
      <c r="P8" s="25" t="inlineStr">
        <is>
          <t>L'asclépiade à Dragons' Den le 17 septembre!</t>
        </is>
      </c>
      <c r="Q8" s="25" t="inlineStr">
        <is>
          <t>Bonjour Francois,</t>
        </is>
      </c>
      <c r="R8" s="25" t="inlineStr">
        <is>
          <t>Adresse personnelle : individualiser vraiment</t>
        </is>
      </c>
      <c r="S8" s="46" t="inlineStr">
        <is>
          <t>Bonjour Francois,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 ht="240" customHeight="1" s="26">
      <c r="A9" s="41" t="inlineStr">
        <is>
          <t>A</t>
        </is>
      </c>
      <c r="B9" s="36" t="inlineStr">
        <is>
          <t>Ariane</t>
        </is>
      </c>
      <c r="C9" s="36" t="inlineStr">
        <is>
          <t>Boyer</t>
        </is>
      </c>
      <c r="D9" s="37" t="inlineStr">
        <is>
          <t>Journaliste</t>
        </is>
      </c>
      <c r="E9" s="36" t="inlineStr">
        <is>
          <t>Pigiste</t>
        </is>
      </c>
      <c r="F9" s="36" t="inlineStr">
        <is>
          <t>ariane.boyer@tva.ca</t>
        </is>
      </c>
      <c r="G9" s="36" t="inlineStr">
        <is>
          <t>5816732446</t>
        </is>
      </c>
      <c r="H9" s="36" t="inlineStr">
        <is>
          <t>Est-du-Québec</t>
        </is>
      </c>
      <c r="I9" s="37" t="inlineStr">
        <is>
          <t>Environnement; Sciences; Économie</t>
        </is>
      </c>
      <c r="J9" s="36" t="n"/>
      <c r="K9" s="42" t="inlineStr">
        <is>
          <t>Ouvrir</t>
        </is>
      </c>
      <c r="L9" s="38" t="inlineStr">
        <is>
          <t>2026-09-16 10:42</t>
        </is>
      </c>
      <c r="M9" s="38" t="n"/>
      <c r="N9" s="39" t="n"/>
      <c r="O9" s="25" t="inlineStr">
        <is>
          <t>D</t>
        </is>
      </c>
      <c r="P9" s="25" t="inlineStr">
        <is>
          <t>L'asclépiade et les monarques à Dragons' Den!</t>
        </is>
      </c>
      <c r="Q9" s="25" t="inlineStr">
        <is>
          <t>Bonjour Ariane,</t>
        </is>
      </c>
      <c r="R9" s="25" t="inlineStr">
        <is>
          <t>Adresse personnelle : individualiser vraiment</t>
        </is>
      </c>
      <c r="S9" s="46" t="inlineStr">
        <is>
          <t>Bonjour Ariane,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 ht="240" customHeight="1" s="26">
      <c r="A10" s="41" t="inlineStr">
        <is>
          <t>A</t>
        </is>
      </c>
      <c r="B10" s="36" t="inlineStr">
        <is>
          <t>Gilbert</t>
        </is>
      </c>
      <c r="C10" s="36" t="inlineStr">
        <is>
          <t>Bégin</t>
        </is>
      </c>
      <c r="D10" s="37" t="inlineStr">
        <is>
          <t>Journaliste Affaires Publiques</t>
        </is>
      </c>
      <c r="E10" s="36" t="inlineStr">
        <is>
          <t>Radio-Canada (Québec)</t>
        </is>
      </c>
      <c r="F10" s="36" t="inlineStr">
        <is>
          <t>gilbert.begin@radio-canada.ca</t>
        </is>
      </c>
      <c r="G10" s="36" t="inlineStr">
        <is>
          <t>4185648653</t>
        </is>
      </c>
      <c r="H10" s="36" t="inlineStr">
        <is>
          <t>Capitale-Nationale/Chaudière-Appalaches</t>
        </is>
      </c>
      <c r="I10" s="37" t="inlineStr">
        <is>
          <t>Agriculture; Environnement; Plein air; Sciences</t>
        </is>
      </c>
      <c r="J10" s="36" t="n"/>
      <c r="K10" s="42" t="inlineStr">
        <is>
          <t>Ouvrir</t>
        </is>
      </c>
      <c r="L10" s="38" t="inlineStr">
        <is>
          <t>2026-09-16 10:29</t>
        </is>
      </c>
      <c r="M10" s="38" t="n"/>
      <c r="N10" s="39" t="n"/>
      <c r="O10" s="25" t="inlineStr">
        <is>
          <t>B</t>
        </is>
      </c>
      <c r="P10" s="25" t="inlineStr">
        <is>
          <t>L'asclépiade à Dragons' Den le 17 septembre!</t>
        </is>
      </c>
      <c r="Q10" s="25" t="inlineStr">
        <is>
          <t>Bonjour Gilbert,</t>
        </is>
      </c>
      <c r="S10" s="46" t="inlineStr">
        <is>
          <t>Bonjour Gilbert,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 ht="240" customHeight="1" s="26">
      <c r="A11" s="41" t="inlineStr">
        <is>
          <t>A</t>
        </is>
      </c>
      <c r="B11" s="36" t="inlineStr">
        <is>
          <t>Papa Moussa</t>
        </is>
      </c>
      <c r="C11" s="36" t="inlineStr">
        <is>
          <t>Camara</t>
        </is>
      </c>
      <c r="D11" s="37" t="inlineStr">
        <is>
          <t>Journaliste-Animateur</t>
        </is>
      </c>
      <c r="E11" s="36" t="inlineStr">
        <is>
          <t>Pigiste</t>
        </is>
      </c>
      <c r="F11" s="36" t="inlineStr">
        <is>
          <t>pamoussa012@gmail.com</t>
        </is>
      </c>
      <c r="G11" s="36" t="inlineStr">
        <is>
          <t>5813494906</t>
        </is>
      </c>
      <c r="H11" s="36" t="inlineStr">
        <is>
          <t>Capitale-Nationale/Chaudière-Appalaches</t>
        </is>
      </c>
      <c r="I11" s="37" t="inlineStr">
        <is>
          <t>Agriculture; Art de vivre; Environnement; Mode et beauté; Plein air; Sciences; Économie</t>
        </is>
      </c>
      <c r="J11" s="36" t="n"/>
      <c r="K11" s="42" t="inlineStr">
        <is>
          <t>Ouvrir</t>
        </is>
      </c>
      <c r="L11" s="38" t="inlineStr">
        <is>
          <t>2026-09-16 10:42</t>
        </is>
      </c>
      <c r="M11" s="38" t="n"/>
      <c r="N11" s="39" t="n"/>
      <c r="O11" s="25" t="inlineStr">
        <is>
          <t>I</t>
        </is>
      </c>
      <c r="P11" s="25" t="inlineStr">
        <is>
          <t>L'asclépiade à Dragons' Den le 17 septembre!</t>
        </is>
      </c>
      <c r="Q11" s="25" t="inlineStr">
        <is>
          <t>Bonjour Papa Moussa,</t>
        </is>
      </c>
      <c r="R11" s="25" t="inlineStr">
        <is>
          <t>Adresse personnelle : individualiser vraiment</t>
        </is>
      </c>
      <c r="S11" s="46" t="inlineStr">
        <is>
          <t>Bonjour Papa Moussa,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 ht="240" customHeight="1" s="26">
      <c r="A12" s="41" t="inlineStr">
        <is>
          <t>A</t>
        </is>
      </c>
      <c r="B12" s="36" t="inlineStr">
        <is>
          <t>Victor</t>
        </is>
      </c>
      <c r="C12" s="36" t="inlineStr">
        <is>
          <t>Carré</t>
        </is>
      </c>
      <c r="D12" s="37" t="inlineStr">
        <is>
          <t>Journaliste</t>
        </is>
      </c>
      <c r="E12" s="36" t="inlineStr">
        <is>
          <t>Le Charlevoisien</t>
        </is>
      </c>
      <c r="F12" s="36" t="inlineStr">
        <is>
          <t>vcarre@lecharlevoisien.com</t>
        </is>
      </c>
      <c r="G12" s="36" t="inlineStr">
        <is>
          <t>418-435-0220 P.2254</t>
        </is>
      </c>
      <c r="H12" s="36" t="inlineStr">
        <is>
          <t>Capitale-Nationale/Chaudière-Appalaches</t>
        </is>
      </c>
      <c r="I12" s="37" t="inlineStr">
        <is>
          <t>Économie</t>
        </is>
      </c>
      <c r="J12" s="36" t="n"/>
      <c r="K12" s="42" t="inlineStr">
        <is>
          <t>Ouvrir</t>
        </is>
      </c>
      <c r="L12" s="38" t="inlineStr">
        <is>
          <t>2026-09-16 10:43</t>
        </is>
      </c>
      <c r="M12" s="38" t="n"/>
      <c r="N12" s="39" t="n"/>
      <c r="O12" s="25" t="inlineStr">
        <is>
          <t>B</t>
        </is>
      </c>
      <c r="P12" s="25" t="inlineStr">
        <is>
          <t>L'asclépiade à Dragons' Den le 17 septembre!</t>
        </is>
      </c>
      <c r="Q12" s="25" t="inlineStr">
        <is>
          <t>Bonjour Victor,</t>
        </is>
      </c>
      <c r="S12" s="46" t="inlineStr">
        <is>
          <t>Bonjour Victor,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 ht="240" customHeight="1" s="26">
      <c r="A13" s="41" t="inlineStr">
        <is>
          <t>A</t>
        </is>
      </c>
      <c r="B13" s="36" t="inlineStr">
        <is>
          <t>Eric</t>
        </is>
      </c>
      <c r="C13" s="36" t="inlineStr">
        <is>
          <t>Chabot</t>
        </is>
      </c>
      <c r="D13" s="37" t="inlineStr">
        <is>
          <t>Photographe</t>
        </is>
      </c>
      <c r="E13" s="36" t="inlineStr">
        <is>
          <t>Pigiste</t>
        </is>
      </c>
      <c r="F13" s="36" t="inlineStr">
        <is>
          <t>info@ericchabot.com</t>
        </is>
      </c>
      <c r="G13" s="36" t="n"/>
      <c r="H13" s="36" t="inlineStr">
        <is>
          <t>Montréal</t>
        </is>
      </c>
      <c r="I13" s="37" t="inlineStr">
        <is>
          <t>Environnement; Plein air; Sciences</t>
        </is>
      </c>
      <c r="J13" s="36" t="n"/>
      <c r="K13" s="42" t="inlineStr">
        <is>
          <t>Ouvrir</t>
        </is>
      </c>
      <c r="L13" s="38" t="inlineStr">
        <is>
          <t>2026-09-16 10:43</t>
        </is>
      </c>
      <c r="M13" s="38" t="n"/>
      <c r="N13" s="39" t="n"/>
      <c r="O13" s="25" t="inlineStr">
        <is>
          <t>F</t>
        </is>
      </c>
      <c r="P13" s="25" t="inlineStr">
        <is>
          <t>L'asclépiade à Dragons' Den le 17 sept!</t>
        </is>
      </c>
      <c r="Q13" s="25" t="inlineStr">
        <is>
          <t>Bonjour Eric,</t>
        </is>
      </c>
      <c r="R13" s="25" t="inlineStr">
        <is>
          <t>Adresse personnelle : individualiser vraiment</t>
        </is>
      </c>
      <c r="S13" s="46" t="inlineStr">
        <is>
          <t>Bonjour Eric,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 ht="240" customHeight="1" s="26">
      <c r="A14" s="41" t="inlineStr">
        <is>
          <t>A</t>
        </is>
      </c>
      <c r="B14" s="36" t="inlineStr">
        <is>
          <t>Tristan</t>
        </is>
      </c>
      <c r="C14" s="36" t="inlineStr">
        <is>
          <t>Champagne-Lessard</t>
        </is>
      </c>
      <c r="D14" s="37" t="inlineStr">
        <is>
          <t>Journaliste</t>
        </is>
      </c>
      <c r="E14" s="36" t="inlineStr">
        <is>
          <t>Radio-Canada</t>
        </is>
      </c>
      <c r="F14" s="36" t="inlineStr">
        <is>
          <t>tristanchampagnelessard@gmail.com</t>
        </is>
      </c>
      <c r="G14" s="36" t="n"/>
      <c r="H14" s="36" t="inlineStr">
        <is>
          <t>Montérégie</t>
        </is>
      </c>
      <c r="I14" s="37" t="inlineStr">
        <is>
          <t>Consommation; Environnement; Sciences; Économie</t>
        </is>
      </c>
      <c r="J14" s="36" t="n"/>
      <c r="K14" s="42" t="inlineStr">
        <is>
          <t>Ouvrir</t>
        </is>
      </c>
      <c r="L14" s="38" t="inlineStr">
        <is>
          <t>2026-09-16 10:44</t>
        </is>
      </c>
      <c r="M14" s="38" t="n"/>
      <c r="N14" s="39" t="n"/>
      <c r="O14" s="25" t="inlineStr">
        <is>
          <t>B</t>
        </is>
      </c>
      <c r="P14" s="25" t="inlineStr">
        <is>
          <t>L'asclépiade de la Montérégie à Dragons' Den!</t>
        </is>
      </c>
      <c r="Q14" s="25" t="inlineStr">
        <is>
          <t>Bonjour Tristan,</t>
        </is>
      </c>
      <c r="R14" s="25" t="inlineStr">
        <is>
          <t>Adresse personnelle : individualiser vraiment</t>
        </is>
      </c>
      <c r="S14" s="46" t="inlineStr">
        <is>
          <t>Bonjour Tristan,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 ht="240" customHeight="1" s="26">
      <c r="A15" s="41" t="inlineStr">
        <is>
          <t>A</t>
        </is>
      </c>
      <c r="B15" s="36" t="inlineStr">
        <is>
          <t>Jean-Marc</t>
        </is>
      </c>
      <c r="C15" s="36" t="inlineStr">
        <is>
          <t>Chevalier</t>
        </is>
      </c>
      <c r="D15" s="37" t="inlineStr">
        <is>
          <t>Photographe et pilote de drone</t>
        </is>
      </c>
      <c r="E15" s="36" t="inlineStr">
        <is>
          <t>Pigiste</t>
        </is>
      </c>
      <c r="F15" s="36" t="inlineStr">
        <is>
          <t>info@photojmc.ca</t>
        </is>
      </c>
      <c r="G15" s="36" t="inlineStr">
        <is>
          <t>5146041181</t>
        </is>
      </c>
      <c r="H15" s="36" t="inlineStr">
        <is>
          <t>Montérégie</t>
        </is>
      </c>
      <c r="I15" s="37" t="inlineStr">
        <is>
          <t>Agriculture; Environnement; Plein air; Sciences</t>
        </is>
      </c>
      <c r="J15" s="36" t="n"/>
      <c r="K15" s="42" t="inlineStr">
        <is>
          <t>Ouvrir</t>
        </is>
      </c>
      <c r="L15" s="38" t="inlineStr">
        <is>
          <t>2026-09-16 10:44</t>
        </is>
      </c>
      <c r="M15" s="38" t="n"/>
      <c r="N15" s="39" t="n"/>
      <c r="O15" s="25" t="inlineStr">
        <is>
          <t>C</t>
        </is>
      </c>
      <c r="P15" s="25" t="inlineStr">
        <is>
          <t>L'asclépiade de la Montérégie à Dragons' Den!</t>
        </is>
      </c>
      <c r="Q15" s="25" t="inlineStr">
        <is>
          <t>Bonjour Jean-Marc,</t>
        </is>
      </c>
      <c r="R15" s="25" t="inlineStr">
        <is>
          <t>Adresse personnelle : individualiser vraiment</t>
        </is>
      </c>
      <c r="S15" s="46" t="inlineStr">
        <is>
          <t>Bonjour Jean-Marc,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 ht="240" customHeight="1" s="26">
      <c r="A16" s="41" t="inlineStr">
        <is>
          <t>A</t>
        </is>
      </c>
      <c r="B16" s="36" t="inlineStr">
        <is>
          <t>Simon</t>
        </is>
      </c>
      <c r="C16" s="36" t="inlineStr">
        <is>
          <t>Chrétien</t>
        </is>
      </c>
      <c r="D16" s="37" t="inlineStr">
        <is>
          <t>Rédacteur en chef et journaliste</t>
        </is>
      </c>
      <c r="E16" s="36" t="inlineStr">
        <is>
          <t>Pigiste</t>
        </is>
      </c>
      <c r="F16" s="36" t="inlineStr">
        <is>
          <t>schretien@alliancepolymeres.org</t>
        </is>
      </c>
      <c r="G16" s="36" t="inlineStr">
        <is>
          <t>418-903-0763</t>
        </is>
      </c>
      <c r="H16" s="36" t="inlineStr">
        <is>
          <t>Capitale-Nationale/Chaudière-Appalaches</t>
        </is>
      </c>
      <c r="I16" s="37" t="inlineStr">
        <is>
          <t>Agriculture; Consommation; Environnement; Sciences; Économie</t>
        </is>
      </c>
      <c r="J16" s="36" t="n"/>
      <c r="K16" s="42" t="inlineStr">
        <is>
          <t>Ouvrir</t>
        </is>
      </c>
      <c r="L16" s="38" t="inlineStr">
        <is>
          <t>2026-09-16 10:45</t>
        </is>
      </c>
      <c r="M16" s="38" t="n"/>
      <c r="N16" s="39" t="n"/>
      <c r="O16" s="25" t="inlineStr">
        <is>
          <t>C</t>
        </is>
      </c>
      <c r="P16" s="25" t="inlineStr">
        <is>
          <t>L'asclépiade à Dragons' Den le 17 sept!</t>
        </is>
      </c>
      <c r="Q16" s="25" t="inlineStr">
        <is>
          <t>Bonjour Simon,</t>
        </is>
      </c>
      <c r="R16" s="25" t="inlineStr">
        <is>
          <t>Adresse personnelle : individualiser vraiment</t>
        </is>
      </c>
      <c r="S16" s="46" t="inlineStr">
        <is>
          <t>Bonjour Simon,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 ht="240" customHeight="1" s="26">
      <c r="A17" s="41" t="inlineStr">
        <is>
          <t>A</t>
        </is>
      </c>
      <c r="B17" s="36" t="inlineStr">
        <is>
          <t>Maxime</t>
        </is>
      </c>
      <c r="C17" s="36" t="inlineStr">
        <is>
          <t>Corneau</t>
        </is>
      </c>
      <c r="D17" s="37" t="inlineStr">
        <is>
          <t>Journaliste affaires publiques pour La Semaine verte</t>
        </is>
      </c>
      <c r="E17" s="36" t="inlineStr">
        <is>
          <t>Radio-Canada (Québec)</t>
        </is>
      </c>
      <c r="F17" s="36" t="inlineStr">
        <is>
          <t>maxime.corneau@radio-canada.ca</t>
        </is>
      </c>
      <c r="G17" s="36" t="n"/>
      <c r="H17" s="36" t="inlineStr">
        <is>
          <t>Saguenay - Lac-Saint-Jean</t>
        </is>
      </c>
      <c r="I17" s="37" t="inlineStr">
        <is>
          <t>Agriculture; Environnement; Plein air; Sciences</t>
        </is>
      </c>
      <c r="J17" s="36" t="n"/>
      <c r="K17" s="42" t="inlineStr">
        <is>
          <t>Ouvrir</t>
        </is>
      </c>
      <c r="L17" s="38" t="inlineStr">
        <is>
          <t>2026-09-16 10:45</t>
        </is>
      </c>
      <c r="M17" s="38" t="n"/>
      <c r="N17" s="39" t="n"/>
      <c r="O17" s="25" t="inlineStr">
        <is>
          <t>B</t>
        </is>
      </c>
      <c r="P17" s="25" t="inlineStr">
        <is>
          <t>L'asclépiade à Dragons' Den le 17 septembre!</t>
        </is>
      </c>
      <c r="Q17" s="25" t="inlineStr">
        <is>
          <t>Bonjour Maxime,</t>
        </is>
      </c>
      <c r="S17" s="46" t="inlineStr">
        <is>
          <t>Bonjour Maxime,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 ht="240" customHeight="1" s="26">
      <c r="A18" s="41" t="inlineStr">
        <is>
          <t>A</t>
        </is>
      </c>
      <c r="B18" s="36" t="inlineStr">
        <is>
          <t>Aurélia</t>
        </is>
      </c>
      <c r="C18" s="36" t="inlineStr">
        <is>
          <t>Crémoux</t>
        </is>
      </c>
      <c r="D18" s="37" t="inlineStr">
        <is>
          <t>journaliste</t>
        </is>
      </c>
      <c r="E18" s="36" t="inlineStr">
        <is>
          <t>Pigiste</t>
        </is>
      </c>
      <c r="F18" s="36" t="inlineStr">
        <is>
          <t>aurelia.cremoux@gmail.com</t>
        </is>
      </c>
      <c r="G18" s="36" t="n"/>
      <c r="H18" s="36" t="inlineStr">
        <is>
          <t>Montréal</t>
        </is>
      </c>
      <c r="I18" s="37" t="inlineStr">
        <is>
          <t>Art de vivre; Environnement; Plein air; Sciences</t>
        </is>
      </c>
      <c r="J18" s="36" t="n"/>
      <c r="K18" s="42" t="inlineStr">
        <is>
          <t>Ouvrir</t>
        </is>
      </c>
      <c r="L18" s="38" t="inlineStr">
        <is>
          <t>2026-09-16 10:46</t>
        </is>
      </c>
      <c r="M18" s="38" t="n"/>
      <c r="N18" s="39" t="n"/>
      <c r="O18" s="25" t="inlineStr">
        <is>
          <t>F</t>
        </is>
      </c>
      <c r="P18" s="25" t="inlineStr">
        <is>
          <t>L'asclépiade à Dragons' Den le 17 sept!</t>
        </is>
      </c>
      <c r="Q18" s="25" t="inlineStr">
        <is>
          <t>Bonjour Aurélia,</t>
        </is>
      </c>
      <c r="R18" s="25" t="inlineStr">
        <is>
          <t>Adresse personnelle : individualiser vraiment</t>
        </is>
      </c>
      <c r="S18" s="46" t="inlineStr">
        <is>
          <t>Bonjour Aurélia,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 ht="240" customHeight="1" s="26">
      <c r="A19" s="41" t="inlineStr">
        <is>
          <t>A</t>
        </is>
      </c>
      <c r="B19" s="36" t="inlineStr">
        <is>
          <t>Catherine</t>
        </is>
      </c>
      <c r="C19" s="36" t="inlineStr">
        <is>
          <t>Dallaire</t>
        </is>
      </c>
      <c r="D19" s="37" t="inlineStr">
        <is>
          <t>Journaliste indépendante, chroniqueuse</t>
        </is>
      </c>
      <c r="E19" s="36" t="inlineStr">
        <is>
          <t>Pigiste</t>
        </is>
      </c>
      <c r="F19" s="36" t="inlineStr">
        <is>
          <t>dallai.redaction@gmail.com</t>
        </is>
      </c>
      <c r="G19" s="36" t="n"/>
      <c r="H19" s="36" t="inlineStr">
        <is>
          <t>Estrie</t>
        </is>
      </c>
      <c r="I19" s="37" t="inlineStr">
        <is>
          <t>Agriculture; Environnement; Plein air; Sciences</t>
        </is>
      </c>
      <c r="J19" s="36" t="n"/>
      <c r="K19" s="42" t="inlineStr">
        <is>
          <t>Ouvrir</t>
        </is>
      </c>
      <c r="L19" s="38" t="inlineStr">
        <is>
          <t>2026-09-16 10:47</t>
        </is>
      </c>
      <c r="M19" s="38" t="n"/>
      <c r="N19" s="39" t="n"/>
      <c r="O19" s="25" t="inlineStr">
        <is>
          <t>C</t>
        </is>
      </c>
      <c r="P19" s="25" t="inlineStr">
        <is>
          <t>L'asclépiade de l'Estrie à Dragons' Den!</t>
        </is>
      </c>
      <c r="Q19" s="25" t="inlineStr">
        <is>
          <t>Bonjour Catherine,</t>
        </is>
      </c>
      <c r="R19" s="25" t="inlineStr">
        <is>
          <t>Adresse personnelle : individualiser vraiment</t>
        </is>
      </c>
      <c r="S19" s="46" t="inlineStr">
        <is>
          <t>Bonjour Catherine,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 ht="240" customHeight="1" s="26">
      <c r="A20" s="41" t="inlineStr">
        <is>
          <t>A</t>
        </is>
      </c>
      <c r="B20" s="36" t="inlineStr">
        <is>
          <t>Gabriel</t>
        </is>
      </c>
      <c r="C20" s="36" t="inlineStr">
        <is>
          <t>Delisle</t>
        </is>
      </c>
      <c r="D20" s="37" t="inlineStr">
        <is>
          <t>Journaliste</t>
        </is>
      </c>
      <c r="E20" s="36" t="inlineStr">
        <is>
          <t>Le Nouvelliste</t>
        </is>
      </c>
      <c r="F20" s="36" t="inlineStr">
        <is>
          <t>gabriel.delisle@lenouvelliste.qc.ca</t>
        </is>
      </c>
      <c r="G20" s="36" t="inlineStr">
        <is>
          <t>819 376-2501</t>
        </is>
      </c>
      <c r="H20" s="36" t="inlineStr">
        <is>
          <t>Mauricie</t>
        </is>
      </c>
      <c r="I20" s="37" t="inlineStr">
        <is>
          <t>Environnement; Plein air; Économie</t>
        </is>
      </c>
      <c r="J20" s="36" t="n"/>
      <c r="K20" s="42" t="inlineStr">
        <is>
          <t>Ouvrir</t>
        </is>
      </c>
      <c r="L20" s="38" t="inlineStr">
        <is>
          <t>2026-09-16 10:47</t>
        </is>
      </c>
      <c r="M20" s="38" t="n"/>
      <c r="N20" s="39" t="n"/>
      <c r="O20" s="25" t="inlineStr">
        <is>
          <t>B</t>
        </is>
      </c>
      <c r="P20" s="25" t="inlineStr">
        <is>
          <t>L'asclépiade de la Mauricie à Dragons' Den!</t>
        </is>
      </c>
      <c r="Q20" s="25" t="inlineStr">
        <is>
          <t>Bonjour Gabriel,</t>
        </is>
      </c>
      <c r="S20" s="46" t="inlineStr">
        <is>
          <t>Bonjour Gabriel,
Je m'appelle Gabriel Gouveia, fondateur de [Lasclay](https://lasclay.com). On isole des vêtements d'hiver avec une mauvaise herbe, l'asclépiade, qu'on cultive pour sauvegarder un pollinisateur emblématique et menacé : le papillon monarque.
Je vous écris parce que l'asclépiade a commencé chez vous, à Saint-Tite et dans Mékinac. Le groupe Protec-Style, qui exploitait l'usine de Saint-Tite sous le nom d'Encore 3, avait réservé 90 % de la récolte québécoise quand il a fait faillite [le 11 octobre 2017](https://ici.radio-canada.ca/nouvelle/1061543/asclepiade-soyer-producteurs-industries-encore3-faillite-monark), emportant Saint-Tite et son atelier de Granby. Les 125 producteurs de la Coopérative Monark ont pris le choc. Six semaines plus tard, [la MRC de Mékinac a fait pencher la relance](https://lenouvelliste.ca/affaires/asclepiade-les-activites-reprennent-a-lusine-de-saint-tite-9a7c0d08d77c81c7ab22fdfc8e47a922).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Ce jeudi 17 septembre, on va faire un énorme pas dans la bonne direction :
Je vais présenter Lasclay dans le premier épisode de la 21e saison de Dragons' Den, sur CBC et CBC Gem.
Je voulais vous en faire part et qui sait, peut-être vous inspirer un sujet : neuf ans après la faillite, il reste quelque chose de cette promesse-là, et ça se raconte.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 ht="240" customHeight="1" s="26">
      <c r="A21" s="41" t="inlineStr">
        <is>
          <t>A</t>
        </is>
      </c>
      <c r="B21" s="36" t="inlineStr">
        <is>
          <t>Anaïs</t>
        </is>
      </c>
      <c r="C21" s="36" t="inlineStr">
        <is>
          <t>Desjardins</t>
        </is>
      </c>
      <c r="D21" s="37" t="inlineStr">
        <is>
          <t>Journaliste</t>
        </is>
      </c>
      <c r="E21" s="36" t="inlineStr">
        <is>
          <t>Radio-Canada (Ottawa)</t>
        </is>
      </c>
      <c r="F21" s="36" t="inlineStr">
        <is>
          <t>anais.desjardins@radio-canada.ca</t>
        </is>
      </c>
      <c r="G21" s="36" t="n"/>
      <c r="H21" s="36" t="inlineStr">
        <is>
          <t>Montréal</t>
        </is>
      </c>
      <c r="I21" s="37" t="inlineStr">
        <is>
          <t>Environnement; Sciences; Économie</t>
        </is>
      </c>
      <c r="J21" s="36" t="n"/>
      <c r="K21" s="42" t="inlineStr">
        <is>
          <t>Ouvrir</t>
        </is>
      </c>
      <c r="L21" s="38" t="inlineStr">
        <is>
          <t>2026-09-16 10:48</t>
        </is>
      </c>
      <c r="M21" s="38" t="n"/>
      <c r="N21" s="39" t="n"/>
      <c r="O21" s="25" t="inlineStr">
        <is>
          <t>D</t>
        </is>
      </c>
      <c r="P21" s="25" t="inlineStr">
        <is>
          <t>L'asclépiade et les monarques à Dragons' Den!</t>
        </is>
      </c>
      <c r="Q21" s="25" t="inlineStr">
        <is>
          <t>Bonjour Anaïs,</t>
        </is>
      </c>
      <c r="S21" s="46" t="inlineStr">
        <is>
          <t>Bonjour Anaïs,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2" ht="240" customHeight="1" s="26">
      <c r="A22" s="41" t="inlineStr">
        <is>
          <t>A</t>
        </is>
      </c>
      <c r="B22" s="36" t="inlineStr">
        <is>
          <t>Simon</t>
        </is>
      </c>
      <c r="C22" s="36" t="inlineStr">
        <is>
          <t>Dominé</t>
        </is>
      </c>
      <c r="D22" s="37" t="inlineStr">
        <is>
          <t>journaliste</t>
        </is>
      </c>
      <c r="E22" s="36" t="inlineStr">
        <is>
          <t>Pigiste</t>
        </is>
      </c>
      <c r="F22" s="36" t="inlineStr">
        <is>
          <t>sdomine@chga.fm</t>
        </is>
      </c>
      <c r="G22" s="36" t="inlineStr">
        <is>
          <t>8194499730</t>
        </is>
      </c>
      <c r="H22" s="36" t="inlineStr">
        <is>
          <t>Outaouais</t>
        </is>
      </c>
      <c r="I22" s="37" t="inlineStr">
        <is>
          <t>Agriculture; Environnement; Plein air; Sciences; Économie</t>
        </is>
      </c>
      <c r="J22" s="36" t="n"/>
      <c r="K22" s="42" t="inlineStr">
        <is>
          <t>Ouvrir</t>
        </is>
      </c>
      <c r="L22" s="38" t="inlineStr">
        <is>
          <t>2026-09-16 10:48</t>
        </is>
      </c>
      <c r="M22" s="38" t="n"/>
      <c r="N22" s="39" t="n"/>
      <c r="O22" s="25" t="inlineStr">
        <is>
          <t>C</t>
        </is>
      </c>
      <c r="P22" s="25" t="inlineStr">
        <is>
          <t>L'asclépiade à Dragons' Den le 17 sept!</t>
        </is>
      </c>
      <c r="Q22" s="25" t="inlineStr">
        <is>
          <t>Bonjour Simon,</t>
        </is>
      </c>
      <c r="R22" s="25" t="inlineStr">
        <is>
          <t>Adresse personnelle : individualiser vraiment</t>
        </is>
      </c>
      <c r="S22" s="46" t="inlineStr">
        <is>
          <t>Bonjour Simon,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3" ht="240" customHeight="1" s="26">
      <c r="A23" s="41" t="inlineStr">
        <is>
          <t>A</t>
        </is>
      </c>
      <c r="B23" s="36" t="inlineStr">
        <is>
          <t>Karl-Ivann</t>
        </is>
      </c>
      <c r="C23" s="36" t="inlineStr">
        <is>
          <t>Dubé</t>
        </is>
      </c>
      <c r="D23" s="37" t="inlineStr">
        <is>
          <t>Journaliste-Animateur</t>
        </is>
      </c>
      <c r="E23" s="36" t="inlineStr">
        <is>
          <t>SOCAM (Atikamekw-Montagnais)</t>
        </is>
      </c>
      <c r="F23" s="36" t="inlineStr">
        <is>
          <t>kdube@socam.net</t>
        </is>
      </c>
      <c r="G23" s="36" t="inlineStr">
        <is>
          <t>418-843-3873</t>
        </is>
      </c>
      <c r="H23" s="36" t="inlineStr">
        <is>
          <t>Lanaudière</t>
        </is>
      </c>
      <c r="I23" s="37" t="inlineStr">
        <is>
          <t>Art de vivre; Consommation; Environnement; Mode et beauté; Plein air; Sciences; Économie</t>
        </is>
      </c>
      <c r="J23" s="36" t="n"/>
      <c r="K23" s="42" t="inlineStr">
        <is>
          <t>Ouvrir</t>
        </is>
      </c>
      <c r="L23" s="38" t="inlineStr">
        <is>
          <t>2026-09-16 10:49</t>
        </is>
      </c>
      <c r="M23" s="38" t="n"/>
      <c r="N23" s="39" t="n"/>
      <c r="O23" s="25" t="inlineStr">
        <is>
          <t>I</t>
        </is>
      </c>
      <c r="P23" s="25" t="inlineStr">
        <is>
          <t>L'asclépiade à Dragons' Den le 17 septembre!</t>
        </is>
      </c>
      <c r="Q23" s="25" t="inlineStr">
        <is>
          <t>Bonjour Karl-Ivann,</t>
        </is>
      </c>
      <c r="S23" s="46" t="inlineStr">
        <is>
          <t>Bonjour Karl-Ivann,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4" ht="240" customHeight="1" s="26">
      <c r="A24" s="41" t="inlineStr">
        <is>
          <t>A</t>
        </is>
      </c>
      <c r="B24" s="36" t="inlineStr">
        <is>
          <t>André</t>
        </is>
      </c>
      <c r="C24" s="36" t="inlineStr">
        <is>
          <t>Fauteux</t>
        </is>
      </c>
      <c r="D24" s="37" t="inlineStr">
        <is>
          <t>Rédacteur en chef</t>
        </is>
      </c>
      <c r="E24" s="36" t="inlineStr">
        <is>
          <t>La Maison du 21e siècle</t>
        </is>
      </c>
      <c r="F24" s="36" t="inlineStr">
        <is>
          <t>andre@maisonsaine.ca</t>
        </is>
      </c>
      <c r="G24" s="36" t="inlineStr">
        <is>
          <t>450 745-0609</t>
        </is>
      </c>
      <c r="H24" s="36" t="inlineStr">
        <is>
          <t>Laurentides</t>
        </is>
      </c>
      <c r="I24" s="37" t="inlineStr">
        <is>
          <t>Consommation; Environnement; Sciences</t>
        </is>
      </c>
      <c r="J24" s="36" t="n"/>
      <c r="K24" s="42" t="inlineStr">
        <is>
          <t>Ouvrir</t>
        </is>
      </c>
      <c r="L24" s="38" t="inlineStr">
        <is>
          <t>2026-09-16 10:49</t>
        </is>
      </c>
      <c r="M24" s="38" t="n"/>
      <c r="N24" s="39" t="n"/>
      <c r="O24" s="25" t="inlineStr">
        <is>
          <t>B</t>
        </is>
      </c>
      <c r="P24" s="25" t="inlineStr">
        <is>
          <t>L'asclépiade à Dragons' Den le 17 septembre!</t>
        </is>
      </c>
      <c r="Q24" s="25" t="inlineStr">
        <is>
          <t>Bonjour André,</t>
        </is>
      </c>
      <c r="S24" s="46" t="inlineStr">
        <is>
          <t>Bonjour André,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5" ht="240" customHeight="1" s="26">
      <c r="A25" s="41" t="inlineStr">
        <is>
          <t>A</t>
        </is>
      </c>
      <c r="B25" s="36" t="inlineStr">
        <is>
          <t>Myriam</t>
        </is>
      </c>
      <c r="C25" s="36" t="inlineStr">
        <is>
          <t>Fimbry</t>
        </is>
      </c>
      <c r="D25" s="37" t="inlineStr">
        <is>
          <t>Reporter nationale</t>
        </is>
      </c>
      <c r="E25" s="36" t="inlineStr">
        <is>
          <t>Radio-Canada (QC)</t>
        </is>
      </c>
      <c r="F25" s="36" t="inlineStr">
        <is>
          <t>myriam.fimbry@radio-canada.ca</t>
        </is>
      </c>
      <c r="G25" s="36" t="inlineStr">
        <is>
          <t>514 597-4001</t>
        </is>
      </c>
      <c r="H25" s="36" t="inlineStr">
        <is>
          <t>Montréal</t>
        </is>
      </c>
      <c r="I25" s="37" t="inlineStr">
        <is>
          <t>Agriculture; Environnement; Sciences; Économie</t>
        </is>
      </c>
      <c r="J25" s="36" t="n"/>
      <c r="K25" s="42" t="inlineStr">
        <is>
          <t>Ouvrir</t>
        </is>
      </c>
      <c r="L25" s="38" t="inlineStr">
        <is>
          <t>2026-09-16 10:50</t>
        </is>
      </c>
      <c r="M25" s="38" t="n"/>
      <c r="N25" s="39" t="n"/>
      <c r="O25" s="25" t="inlineStr">
        <is>
          <t>C</t>
        </is>
      </c>
      <c r="P25" s="25" t="inlineStr">
        <is>
          <t>L'asclépiade à Dragons' Den le 17 sept!</t>
        </is>
      </c>
      <c r="Q25" s="25" t="inlineStr">
        <is>
          <t>Bonjour Myriam,</t>
        </is>
      </c>
      <c r="S25" s="46" t="inlineStr">
        <is>
          <t>Bonjour Myriam,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6" ht="240" customHeight="1" s="26">
      <c r="A26" s="41" t="inlineStr">
        <is>
          <t>A</t>
        </is>
      </c>
      <c r="B26" s="36" t="inlineStr">
        <is>
          <t>Étienne</t>
        </is>
      </c>
      <c r="C26" s="36" t="inlineStr">
        <is>
          <t>Fortin-Gauthier</t>
        </is>
      </c>
      <c r="D26" s="37" t="inlineStr">
        <is>
          <t>Journaliste</t>
        </is>
      </c>
      <c r="E26" s="36" t="inlineStr">
        <is>
          <t>Noovo Info</t>
        </is>
      </c>
      <c r="F26" s="36" t="inlineStr">
        <is>
          <t>etiennefgauthier@bellmedia.ca</t>
        </is>
      </c>
      <c r="G26" s="36" t="n"/>
      <c r="H26" s="36" t="inlineStr">
        <is>
          <t>Montréal</t>
        </is>
      </c>
      <c r="I26" s="37" t="inlineStr">
        <is>
          <t>Agriculture; Consommation; Environnement; Plein air; Économie</t>
        </is>
      </c>
      <c r="J26" s="36" t="n"/>
      <c r="K26" s="42" t="inlineStr">
        <is>
          <t>Ouvrir</t>
        </is>
      </c>
      <c r="L26" s="38" t="inlineStr">
        <is>
          <t>2026-09-16 10:50</t>
        </is>
      </c>
      <c r="M26" s="38" t="n"/>
      <c r="N26" s="39" t="n"/>
      <c r="O26" s="25" t="inlineStr">
        <is>
          <t>I</t>
        </is>
      </c>
      <c r="P26" s="25" t="inlineStr">
        <is>
          <t>L'asclépiade à Dragons' Den le 17 septembre!</t>
        </is>
      </c>
      <c r="Q26" s="25" t="inlineStr">
        <is>
          <t>Bonjour Étienne,</t>
        </is>
      </c>
      <c r="S26" s="46" t="inlineStr">
        <is>
          <t>Bonjour Étienne,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7" ht="240" customHeight="1" s="26">
      <c r="A27" s="41" t="inlineStr">
        <is>
          <t>A</t>
        </is>
      </c>
      <c r="B27" s="36" t="inlineStr">
        <is>
          <t>Johanne</t>
        </is>
      </c>
      <c r="C27" s="36" t="inlineStr">
        <is>
          <t>Fournier</t>
        </is>
      </c>
      <c r="D27" s="37" t="inlineStr">
        <is>
          <t>Journaliste-photographe</t>
        </is>
      </c>
      <c r="E27" s="36" t="inlineStr">
        <is>
          <t>Le Soleil</t>
        </is>
      </c>
      <c r="F27" s="36" t="inlineStr">
        <is>
          <t>j.fournier@telus.net</t>
        </is>
      </c>
      <c r="G27" s="36" t="inlineStr">
        <is>
          <t>418 737-9665</t>
        </is>
      </c>
      <c r="H27" s="36" t="inlineStr">
        <is>
          <t>Est-du-Québec</t>
        </is>
      </c>
      <c r="I27" s="37" t="inlineStr">
        <is>
          <t>Agriculture; Art de vivre; Consommation; Environnement; Plein air; Sciences; Économie</t>
        </is>
      </c>
      <c r="J27" s="36" t="n"/>
      <c r="K27" s="42" t="inlineStr">
        <is>
          <t>Ouvrir</t>
        </is>
      </c>
      <c r="L27" s="38" t="inlineStr">
        <is>
          <t>2026-09-16 10:51</t>
        </is>
      </c>
      <c r="M27" s="38" t="n"/>
      <c r="N27" s="39" t="n"/>
      <c r="O27" s="25" t="inlineStr">
        <is>
          <t>B</t>
        </is>
      </c>
      <c r="P27" s="25" t="inlineStr">
        <is>
          <t>L'asclépiade à Dragons' Den le 17 septembre!</t>
        </is>
      </c>
      <c r="Q27" s="25" t="inlineStr">
        <is>
          <t>Bonjour Johanne,</t>
        </is>
      </c>
      <c r="S27" s="46" t="inlineStr">
        <is>
          <t>Bonjour Johanne,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8" ht="240" customHeight="1" s="26">
      <c r="A28" s="41" t="inlineStr">
        <is>
          <t>A</t>
        </is>
      </c>
      <c r="B28" s="36" t="inlineStr">
        <is>
          <t>Jean</t>
        </is>
      </c>
      <c r="C28" s="36" t="inlineStr">
        <is>
          <t>Garon</t>
        </is>
      </c>
      <c r="D28" s="37" t="inlineStr">
        <is>
          <t>Journaliste pigiste spécialisé</t>
        </is>
      </c>
      <c r="E28" s="36" t="inlineStr">
        <is>
          <t>Pigiste</t>
        </is>
      </c>
      <c r="F28" s="36" t="inlineStr">
        <is>
          <t>jeangaron@videotron.ca</t>
        </is>
      </c>
      <c r="G28" s="36" t="inlineStr">
        <is>
          <t>450-465-3726</t>
        </is>
      </c>
      <c r="H28" s="36" t="inlineStr">
        <is>
          <t>Montréal</t>
        </is>
      </c>
      <c r="I28" s="37" t="inlineStr">
        <is>
          <t>Consommation; Environnement; Sciences; Économie</t>
        </is>
      </c>
      <c r="J28" s="36" t="n"/>
      <c r="K28" s="42" t="inlineStr">
        <is>
          <t>Ouvrir</t>
        </is>
      </c>
      <c r="L28" s="38" t="inlineStr">
        <is>
          <t>2026-09-16 10:51</t>
        </is>
      </c>
      <c r="M28" s="38" t="n"/>
      <c r="N28" s="39" t="n"/>
      <c r="O28" s="25" t="inlineStr">
        <is>
          <t>D</t>
        </is>
      </c>
      <c r="P28" s="25" t="inlineStr">
        <is>
          <t>L'asclépiade et les monarques à Dragons' Den!</t>
        </is>
      </c>
      <c r="Q28" s="25" t="inlineStr">
        <is>
          <t>Bonjour Jean,</t>
        </is>
      </c>
      <c r="R28" s="25" t="inlineStr">
        <is>
          <t>Adresse personnelle : individualiser vraiment</t>
        </is>
      </c>
      <c r="S28" s="46" t="inlineStr">
        <is>
          <t>Bonjour Jean,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9" ht="240" customHeight="1" s="26">
      <c r="A29" s="41" t="inlineStr">
        <is>
          <t>A</t>
        </is>
      </c>
      <c r="B29" s="36" t="inlineStr">
        <is>
          <t>Cécile</t>
        </is>
      </c>
      <c r="C29" s="36" t="inlineStr">
        <is>
          <t>Gladel</t>
        </is>
      </c>
      <c r="D29" s="37" t="inlineStr">
        <is>
          <t>Journaliste - recherchiste - édimestre</t>
        </is>
      </c>
      <c r="E29" s="36" t="inlineStr">
        <is>
          <t>Radio-Canada</t>
        </is>
      </c>
      <c r="F29" s="36" t="inlineStr">
        <is>
          <t>cecile.gladel@gmail.com</t>
        </is>
      </c>
      <c r="G29" s="36" t="n"/>
      <c r="H29" s="36" t="inlineStr">
        <is>
          <t>Montréal</t>
        </is>
      </c>
      <c r="I29" s="37" t="inlineStr">
        <is>
          <t>Art de vivre; Consommation; Environnement; Plein air</t>
        </is>
      </c>
      <c r="J29" s="36" t="n"/>
      <c r="K29" s="42" t="inlineStr">
        <is>
          <t>Ouvrir</t>
        </is>
      </c>
      <c r="L29" s="38" t="inlineStr">
        <is>
          <t>2026-09-16 10:52</t>
        </is>
      </c>
      <c r="M29" s="38" t="n"/>
      <c r="N29" s="39" t="n"/>
      <c r="O29" s="25" t="inlineStr">
        <is>
          <t>I</t>
        </is>
      </c>
      <c r="P29" s="25" t="inlineStr">
        <is>
          <t>L'asclépiade à Dragons' Den le 17 septembre!</t>
        </is>
      </c>
      <c r="Q29" s="25" t="inlineStr">
        <is>
          <t>Bonjour Cécile,</t>
        </is>
      </c>
      <c r="R29" s="25" t="inlineStr">
        <is>
          <t>Adresse personnelle : individualiser vraiment</t>
        </is>
      </c>
      <c r="S29" s="46" t="inlineStr">
        <is>
          <t>Bonjour Cécile,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0" ht="240" customHeight="1" s="26">
      <c r="A30" s="41" t="inlineStr">
        <is>
          <t>A</t>
        </is>
      </c>
      <c r="B30" s="36" t="inlineStr">
        <is>
          <t>Marieke</t>
        </is>
      </c>
      <c r="C30" s="36" t="inlineStr">
        <is>
          <t>Glorieux-Stryckman</t>
        </is>
      </c>
      <c r="D30" s="37" t="inlineStr">
        <is>
          <t>Pupitre web et journaliste surnuméraire</t>
        </is>
      </c>
      <c r="E30" s="36" t="inlineStr">
        <is>
          <t>Le Devoir</t>
        </is>
      </c>
      <c r="F30" s="36" t="inlineStr">
        <is>
          <t>mariekestryckman@gmail.com</t>
        </is>
      </c>
      <c r="G30" s="36" t="inlineStr">
        <is>
          <t>(438) 499-4194</t>
        </is>
      </c>
      <c r="H30" s="36" t="inlineStr">
        <is>
          <t>Montréal</t>
        </is>
      </c>
      <c r="I30" s="37" t="inlineStr">
        <is>
          <t>Environnement; Plein air; Sciences; Économie</t>
        </is>
      </c>
      <c r="J30" s="36" t="n"/>
      <c r="K30" s="42" t="inlineStr">
        <is>
          <t>Ouvrir</t>
        </is>
      </c>
      <c r="L30" s="38" t="inlineStr">
        <is>
          <t>2026-09-16 10:52</t>
        </is>
      </c>
      <c r="M30" s="38" t="n"/>
      <c r="N30" s="39" t="n"/>
      <c r="O30" s="25" t="inlineStr">
        <is>
          <t>F</t>
        </is>
      </c>
      <c r="P30" s="25" t="inlineStr">
        <is>
          <t>L'asclépiade à Dragons' Den le 17 sept!</t>
        </is>
      </c>
      <c r="Q30" s="25" t="inlineStr">
        <is>
          <t>Bonjour Marieke,</t>
        </is>
      </c>
      <c r="R30" s="25" t="inlineStr">
        <is>
          <t>Adresse personnelle : individualiser vraiment</t>
        </is>
      </c>
      <c r="S30" s="46" t="inlineStr">
        <is>
          <t>Bonjour Marieke,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1" ht="240" customHeight="1" s="26">
      <c r="A31" s="41" t="inlineStr">
        <is>
          <t>A</t>
        </is>
      </c>
      <c r="B31" s="36" t="inlineStr">
        <is>
          <t>Maude</t>
        </is>
      </c>
      <c r="C31" s="36" t="inlineStr">
        <is>
          <t>Goyer</t>
        </is>
      </c>
      <c r="D31" s="37" t="inlineStr">
        <is>
          <t>Journaliste et chroniqueuse</t>
        </is>
      </c>
      <c r="E31" s="36" t="inlineStr">
        <is>
          <t>Pigiste</t>
        </is>
      </c>
      <c r="F31" s="36" t="inlineStr">
        <is>
          <t>maude.goyer@hec.ca</t>
        </is>
      </c>
      <c r="G31" s="36" t="inlineStr">
        <is>
          <t>5149633588</t>
        </is>
      </c>
      <c r="H31" s="36" t="inlineStr">
        <is>
          <t>Montréal</t>
        </is>
      </c>
      <c r="I31" s="37" t="inlineStr">
        <is>
          <t>Art de vivre; Consommation; Environnement; Plein air; Économie</t>
        </is>
      </c>
      <c r="J31" s="36" t="n"/>
      <c r="K31" s="42" t="inlineStr">
        <is>
          <t>Ouvrir</t>
        </is>
      </c>
      <c r="L31" s="38" t="inlineStr">
        <is>
          <t>2026-09-16 10:53</t>
        </is>
      </c>
      <c r="M31" s="38" t="n"/>
      <c r="N31" s="39" t="n"/>
      <c r="O31" s="25" t="inlineStr">
        <is>
          <t>F</t>
        </is>
      </c>
      <c r="P31" s="25" t="inlineStr">
        <is>
          <t>L'asclépiade à Dragons' Den le 17 sept!</t>
        </is>
      </c>
      <c r="Q31" s="25" t="inlineStr">
        <is>
          <t>Bonjour Maude,</t>
        </is>
      </c>
      <c r="R31" s="25" t="inlineStr">
        <is>
          <t>Adresse personnelle : individualiser vraiment</t>
        </is>
      </c>
      <c r="S31" s="46" t="inlineStr">
        <is>
          <t>Bonjour Maude,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2" ht="240" customHeight="1" s="26">
      <c r="A32" s="41" t="inlineStr">
        <is>
          <t>A</t>
        </is>
      </c>
      <c r="B32" s="36" t="inlineStr">
        <is>
          <t>Pauline</t>
        </is>
      </c>
      <c r="C32" s="36" t="inlineStr">
        <is>
          <t>Gravel</t>
        </is>
      </c>
      <c r="D32" s="37" t="inlineStr">
        <is>
          <t>Journaliste</t>
        </is>
      </c>
      <c r="E32" s="36" t="inlineStr">
        <is>
          <t>Le Devoir</t>
        </is>
      </c>
      <c r="F32" s="36" t="inlineStr">
        <is>
          <t>pgravel@ledevoir.com</t>
        </is>
      </c>
      <c r="G32" s="36" t="inlineStr">
        <is>
          <t>514 985-3333</t>
        </is>
      </c>
      <c r="H32" s="36" t="inlineStr">
        <is>
          <t>Montréal</t>
        </is>
      </c>
      <c r="I32" s="37" t="inlineStr">
        <is>
          <t>Agriculture; Environnement; Sciences</t>
        </is>
      </c>
      <c r="J32" s="36" t="n"/>
      <c r="K32" s="42" t="inlineStr">
        <is>
          <t>Ouvrir</t>
        </is>
      </c>
      <c r="L32" s="38" t="inlineStr">
        <is>
          <t>2026-09-16 10:53</t>
        </is>
      </c>
      <c r="M32" s="38" t="n"/>
      <c r="N32" s="39" t="n"/>
      <c r="O32" s="25" t="inlineStr">
        <is>
          <t>C</t>
        </is>
      </c>
      <c r="P32" s="25" t="inlineStr">
        <is>
          <t>L'asclépiade à Dragons' Den le 17 sept!</t>
        </is>
      </c>
      <c r="Q32" s="25" t="inlineStr">
        <is>
          <t>Bonjour Pauline,</t>
        </is>
      </c>
      <c r="S32" s="46" t="inlineStr">
        <is>
          <t>Bonjour Pauline,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3" ht="240" customHeight="1" s="26">
      <c r="A33" s="41" t="inlineStr">
        <is>
          <t>A</t>
        </is>
      </c>
      <c r="B33" s="36" t="inlineStr">
        <is>
          <t>Bernard</t>
        </is>
      </c>
      <c r="C33" s="36" t="inlineStr">
        <is>
          <t>Hervieux</t>
        </is>
      </c>
      <c r="D33" s="37" t="inlineStr">
        <is>
          <t>Journaliste-Animateur</t>
        </is>
      </c>
      <c r="E33" s="36" t="inlineStr">
        <is>
          <t>SOCAM (Atikamekw-Montagnais)</t>
        </is>
      </c>
      <c r="F33" s="36" t="inlineStr">
        <is>
          <t>bhervieux@socam.net</t>
        </is>
      </c>
      <c r="G33" s="36" t="inlineStr">
        <is>
          <t>418-843-3873</t>
        </is>
      </c>
      <c r="H33" s="36" t="inlineStr">
        <is>
          <t>Capitale-Nationale/Chaudière-Appalaches</t>
        </is>
      </c>
      <c r="I33" s="37" t="inlineStr">
        <is>
          <t>Art de vivre; Consommation; Environnement; Mode et beauté; Plein air; Sciences; Économie</t>
        </is>
      </c>
      <c r="J33" s="36" t="n"/>
      <c r="K33" s="42" t="inlineStr">
        <is>
          <t>Ouvrir</t>
        </is>
      </c>
      <c r="L33" s="38" t="inlineStr">
        <is>
          <t>2026-09-16 10:54</t>
        </is>
      </c>
      <c r="M33" s="38" t="n"/>
      <c r="N33" s="39" t="n"/>
      <c r="O33" s="25" t="inlineStr">
        <is>
          <t>I</t>
        </is>
      </c>
      <c r="P33" s="25" t="inlineStr">
        <is>
          <t>L'asclépiade à Dragons' Den le 17 septembre!</t>
        </is>
      </c>
      <c r="Q33" s="25" t="inlineStr">
        <is>
          <t>Bonjour Bernard,</t>
        </is>
      </c>
      <c r="S33" s="46" t="inlineStr">
        <is>
          <t>Bonjour Bernard,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4" ht="240" customHeight="1" s="26">
      <c r="A34" s="41" t="inlineStr">
        <is>
          <t>A</t>
        </is>
      </c>
      <c r="B34" s="36" t="inlineStr">
        <is>
          <t>Leïla</t>
        </is>
      </c>
      <c r="C34" s="36" t="inlineStr">
        <is>
          <t>Jolin-Dahel</t>
        </is>
      </c>
      <c r="D34" s="37" t="inlineStr">
        <is>
          <t>Journaliste</t>
        </is>
      </c>
      <c r="E34" s="36" t="inlineStr">
        <is>
          <t>Le Devoir</t>
        </is>
      </c>
      <c r="F34" s="36" t="inlineStr">
        <is>
          <t>leila.jolindahel@gmail.com</t>
        </is>
      </c>
      <c r="G34" s="36" t="inlineStr">
        <is>
          <t>514 690-5271</t>
        </is>
      </c>
      <c r="H34" s="36" t="inlineStr">
        <is>
          <t>Montréal</t>
        </is>
      </c>
      <c r="I34" s="37" t="inlineStr">
        <is>
          <t>Agriculture; Art de vivre; Consommation; Environnement; Mode et beauté; Plein air; Sciences; Économie</t>
        </is>
      </c>
      <c r="J34" s="36" t="n"/>
      <c r="K34" s="42" t="inlineStr">
        <is>
          <t>Ouvrir</t>
        </is>
      </c>
      <c r="L34" s="38" t="inlineStr">
        <is>
          <t>2026-09-16 10:54</t>
        </is>
      </c>
      <c r="M34" s="38" t="n"/>
      <c r="N34" s="39" t="n"/>
      <c r="O34" s="25" t="inlineStr">
        <is>
          <t>C</t>
        </is>
      </c>
      <c r="P34" s="25" t="inlineStr">
        <is>
          <t>L'asclépiade à Dragons' Den le 17 sept!</t>
        </is>
      </c>
      <c r="Q34" s="25" t="inlineStr">
        <is>
          <t>Bonjour Leïla,</t>
        </is>
      </c>
      <c r="R34" s="25" t="inlineStr">
        <is>
          <t>Adresse personnelle : individualiser vraiment</t>
        </is>
      </c>
      <c r="S34" s="46" t="inlineStr">
        <is>
          <t>Bonjour Leïla,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5" ht="240" customHeight="1" s="26">
      <c r="A35" s="41" t="inlineStr">
        <is>
          <t>A</t>
        </is>
      </c>
      <c r="B35" s="36" t="inlineStr">
        <is>
          <t>Kodjo</t>
        </is>
      </c>
      <c r="C35" s="36" t="inlineStr">
        <is>
          <t>LOGO</t>
        </is>
      </c>
      <c r="D35" s="37" t="inlineStr">
        <is>
          <t>JOURNALISTE SENIOR</t>
        </is>
      </c>
      <c r="E35" s="36" t="inlineStr">
        <is>
          <t>Pigiste</t>
        </is>
      </c>
      <c r="F35" s="36" t="inlineStr">
        <is>
          <t>alphonse@flofm.ca</t>
        </is>
      </c>
      <c r="G35" s="36" t="inlineStr">
        <is>
          <t>4187222566</t>
        </is>
      </c>
      <c r="H35" s="36" t="inlineStr">
        <is>
          <t>Est-du-Québec</t>
        </is>
      </c>
      <c r="I35" s="37" t="inlineStr">
        <is>
          <t>Art de vivre; Environnement; Sciences; Économie</t>
        </is>
      </c>
      <c r="J35" s="36" t="n"/>
      <c r="K35" s="42" t="inlineStr">
        <is>
          <t>Ouvrir</t>
        </is>
      </c>
      <c r="L35" s="38" t="inlineStr">
        <is>
          <t>2026-09-16 10:55</t>
        </is>
      </c>
      <c r="M35" s="38" t="n"/>
      <c r="N35" s="39" t="n"/>
      <c r="O35" s="25" t="inlineStr">
        <is>
          <t>D</t>
        </is>
      </c>
      <c r="P35" s="25" t="inlineStr">
        <is>
          <t>L'asclépiade et les monarques à Dragons' Den!</t>
        </is>
      </c>
      <c r="Q35" s="25" t="inlineStr">
        <is>
          <t>Bonjour Kodjo Edjinam Nulagnon,</t>
        </is>
      </c>
      <c r="R35" s="25" t="inlineStr">
        <is>
          <t>Adresse personnelle : individualiser vraiment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t>
        </is>
      </c>
      <c r="S35" s="46" t="inlineStr">
        <is>
          <t>Bonjour Kodjo,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6" ht="240" customHeight="1" s="26">
      <c r="A36" s="41" t="inlineStr">
        <is>
          <t>A</t>
        </is>
      </c>
      <c r="B36" s="36" t="inlineStr">
        <is>
          <t>Annie</t>
        </is>
      </c>
      <c r="C36" s="36" t="inlineStr">
        <is>
          <t>Labrecque</t>
        </is>
      </c>
      <c r="D36" s="37" t="inlineStr">
        <is>
          <t>Journaliste</t>
        </is>
      </c>
      <c r="E36" s="36" t="inlineStr">
        <is>
          <t>Québec Science</t>
        </is>
      </c>
      <c r="F36" s="36" t="inlineStr">
        <is>
          <t>alabrecque@live.ca</t>
        </is>
      </c>
      <c r="G36" s="36" t="n"/>
      <c r="H36" s="36" t="inlineStr">
        <is>
          <t>Montréal</t>
        </is>
      </c>
      <c r="I36" s="37" t="inlineStr">
        <is>
          <t>Agriculture; Environnement; Sciences</t>
        </is>
      </c>
      <c r="J36" s="36" t="n"/>
      <c r="K36" s="42" t="inlineStr">
        <is>
          <t>Ouvrir</t>
        </is>
      </c>
      <c r="L36" s="38" t="inlineStr">
        <is>
          <t>2026-09-16 10:55</t>
        </is>
      </c>
      <c r="M36" s="38" t="n"/>
      <c r="N36" s="39" t="n"/>
      <c r="O36" s="25" t="inlineStr">
        <is>
          <t>C</t>
        </is>
      </c>
      <c r="P36" s="25" t="inlineStr">
        <is>
          <t>L'asclépiade à Dragons' Den le 17 sept!</t>
        </is>
      </c>
      <c r="Q36" s="25" t="inlineStr">
        <is>
          <t>Bonjour Annie,</t>
        </is>
      </c>
      <c r="S36" s="46" t="inlineStr">
        <is>
          <t>Bonjour Annie,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7" ht="240" customHeight="1" s="26">
      <c r="A37" s="41" t="inlineStr">
        <is>
          <t>A</t>
        </is>
      </c>
      <c r="B37" s="36" t="inlineStr">
        <is>
          <t>Marianne</t>
        </is>
      </c>
      <c r="C37" s="36" t="inlineStr">
        <is>
          <t>Lachapelle</t>
        </is>
      </c>
      <c r="D37" s="37" t="inlineStr">
        <is>
          <t>Journaliste</t>
        </is>
      </c>
      <c r="E37" s="36" t="inlineStr">
        <is>
          <t>TVA Nouvelles</t>
        </is>
      </c>
      <c r="F37" s="36" t="inlineStr">
        <is>
          <t>marianne.lachapelle@tva.ca</t>
        </is>
      </c>
      <c r="G37" s="36" t="n"/>
      <c r="H37" s="36" t="inlineStr">
        <is>
          <t>Estrie</t>
        </is>
      </c>
      <c r="I37" s="37" t="inlineStr">
        <is>
          <t>Agriculture; Consommation; Environnement; Plein air</t>
        </is>
      </c>
      <c r="J37" s="36" t="n"/>
      <c r="K37" s="42" t="inlineStr">
        <is>
          <t>Ouvrir</t>
        </is>
      </c>
      <c r="L37" s="38" t="inlineStr">
        <is>
          <t>2026-09-16 10:56</t>
        </is>
      </c>
      <c r="M37" s="38" t="n"/>
      <c r="N37" s="39" t="n"/>
      <c r="O37" s="25" t="inlineStr">
        <is>
          <t>I</t>
        </is>
      </c>
      <c r="P37" s="25" t="inlineStr">
        <is>
          <t>L'asclépiade de l'Estrie à Dragons' Den!</t>
        </is>
      </c>
      <c r="Q37" s="25" t="inlineStr">
        <is>
          <t>Bonjour Marianne,</t>
        </is>
      </c>
      <c r="S37" s="46" t="inlineStr">
        <is>
          <t>Bonjour Marianne,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8" ht="240" customHeight="1" s="26">
      <c r="A38" s="41" t="inlineStr">
        <is>
          <t>A</t>
        </is>
      </c>
      <c r="B38" s="36" t="inlineStr">
        <is>
          <t>Sophie</t>
        </is>
      </c>
      <c r="C38" s="36" t="inlineStr">
        <is>
          <t>Lachapelle</t>
        </is>
      </c>
      <c r="D38" s="37" t="inlineStr">
        <is>
          <t>Journaliste</t>
        </is>
      </c>
      <c r="E38" s="36" t="inlineStr">
        <is>
          <t>Nouveau Projet</t>
        </is>
      </c>
      <c r="F38" s="36" t="inlineStr">
        <is>
          <t>sophiela8@me.com</t>
        </is>
      </c>
      <c r="G38" s="36" t="inlineStr">
        <is>
          <t>514-569-0880</t>
        </is>
      </c>
      <c r="H38" s="36" t="inlineStr">
        <is>
          <t>Montréal</t>
        </is>
      </c>
      <c r="I38" s="37" t="inlineStr">
        <is>
          <t>Agriculture; Environnement; Économie</t>
        </is>
      </c>
      <c r="J38" s="36" t="n"/>
      <c r="K38" s="42" t="inlineStr">
        <is>
          <t>Ouvrir</t>
        </is>
      </c>
      <c r="L38" s="38" t="inlineStr">
        <is>
          <t>2026-09-16 10:56</t>
        </is>
      </c>
      <c r="M38" s="38" t="n"/>
      <c r="N38" s="39" t="n"/>
      <c r="O38" s="25" t="inlineStr">
        <is>
          <t>C</t>
        </is>
      </c>
      <c r="P38" s="25" t="inlineStr">
        <is>
          <t>L'asclépiade à Dragons' Den le 17 sept!</t>
        </is>
      </c>
      <c r="Q38" s="25" t="inlineStr">
        <is>
          <t>Bonjour Sophie,</t>
        </is>
      </c>
      <c r="R38" s="25" t="inlineStr">
        <is>
          <t>Adresse personnelle : individualiser vraiment</t>
        </is>
      </c>
      <c r="S38" s="46" t="inlineStr">
        <is>
          <t>Bonjour Sophie,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39" ht="240" customHeight="1" s="26">
      <c r="A39" s="41" t="inlineStr">
        <is>
          <t>A</t>
        </is>
      </c>
      <c r="B39" s="36" t="inlineStr">
        <is>
          <t>Alain</t>
        </is>
      </c>
      <c r="C39" s="36" t="inlineStr">
        <is>
          <t>Laforest</t>
        </is>
      </c>
      <c r="D39" s="37" t="inlineStr">
        <is>
          <t>Correspondant parlementaire</t>
        </is>
      </c>
      <c r="E39" s="36" t="inlineStr">
        <is>
          <t>TVA Nouvelles</t>
        </is>
      </c>
      <c r="F39" s="36" t="inlineStr">
        <is>
          <t>alain.laforest@tva.ca</t>
        </is>
      </c>
      <c r="G39" s="36" t="n"/>
      <c r="H39" s="36" t="inlineStr">
        <is>
          <t>Capitale-Nationale/Chaudière-Appalaches</t>
        </is>
      </c>
      <c r="I39" s="37" t="inlineStr">
        <is>
          <t>Environnement; Économie</t>
        </is>
      </c>
      <c r="J39" s="36" t="n"/>
      <c r="K39" s="42" t="inlineStr">
        <is>
          <t>Ouvrir</t>
        </is>
      </c>
      <c r="L39" s="38" t="inlineStr">
        <is>
          <t>2026-09-16 10:57</t>
        </is>
      </c>
      <c r="M39" s="38" t="n"/>
      <c r="N39" s="39" t="n"/>
      <c r="O39" s="25" t="inlineStr">
        <is>
          <t>I</t>
        </is>
      </c>
      <c r="P39" s="25" t="inlineStr">
        <is>
          <t>L'asclépiade à Dragons' Den le 17 septembre!</t>
        </is>
      </c>
      <c r="Q39" s="25" t="inlineStr">
        <is>
          <t>Bonjour Alain,</t>
        </is>
      </c>
      <c r="S39" s="46" t="inlineStr">
        <is>
          <t>Bonjour Alain,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0" ht="240" customHeight="1" s="26">
      <c r="A40" s="41" t="inlineStr">
        <is>
          <t>A</t>
        </is>
      </c>
      <c r="B40" s="36" t="inlineStr">
        <is>
          <t>Mikaël</t>
        </is>
      </c>
      <c r="C40" s="36" t="inlineStr">
        <is>
          <t>Lalancette</t>
        </is>
      </c>
      <c r="D40" s="37" t="inlineStr">
        <is>
          <t>Journaliste</t>
        </is>
      </c>
      <c r="E40" s="36" t="inlineStr">
        <is>
          <t>Le Soleil</t>
        </is>
      </c>
      <c r="F40" s="36" t="inlineStr">
        <is>
          <t>mlalancette@lesoleil.com</t>
        </is>
      </c>
      <c r="G40" s="36" t="n"/>
      <c r="H40" s="36" t="inlineStr">
        <is>
          <t>Capitale-Nationale/Chaudière-Appalaches</t>
        </is>
      </c>
      <c r="I40" s="37" t="inlineStr">
        <is>
          <t>Économie</t>
        </is>
      </c>
      <c r="J40" s="36" t="n"/>
      <c r="K40" s="42" t="inlineStr">
        <is>
          <t>Ouvrir</t>
        </is>
      </c>
      <c r="L40" s="38" t="inlineStr">
        <is>
          <t>2026-09-16 10:57</t>
        </is>
      </c>
      <c r="M40" s="38" t="n"/>
      <c r="N40" s="39" t="n"/>
      <c r="O40" s="25" t="inlineStr">
        <is>
          <t>B</t>
        </is>
      </c>
      <c r="P40" s="25" t="inlineStr">
        <is>
          <t>L'asclépiade à Dragons' Den le 17 septembre!</t>
        </is>
      </c>
      <c r="Q40" s="25" t="inlineStr">
        <is>
          <t>Bonjour Mikaël,</t>
        </is>
      </c>
      <c r="S40" s="46" t="inlineStr">
        <is>
          <t>Bonjour Mikaël,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1" ht="240" customHeight="1" s="26">
      <c r="A41" s="41" t="inlineStr">
        <is>
          <t>A</t>
        </is>
      </c>
      <c r="B41" s="36" t="inlineStr">
        <is>
          <t>Jean-Luc</t>
        </is>
      </c>
      <c r="C41" s="36" t="inlineStr">
        <is>
          <t>Lavallée</t>
        </is>
      </c>
      <c r="D41" s="37" t="inlineStr">
        <is>
          <t>Journaliste</t>
        </is>
      </c>
      <c r="E41" s="36" t="inlineStr">
        <is>
          <t>Protégez-Vous</t>
        </is>
      </c>
      <c r="F41" s="36" t="inlineStr">
        <is>
          <t>jllavallee@protegez-vous.ca</t>
        </is>
      </c>
      <c r="G41" s="36" t="inlineStr">
        <is>
          <t>514-461-3000, poste 105</t>
        </is>
      </c>
      <c r="H41" s="36" t="inlineStr">
        <is>
          <t>Capitale-Nationale/Chaudière-Appalaches</t>
        </is>
      </c>
      <c r="I41" s="37" t="inlineStr">
        <is>
          <t>Consommation; Économie</t>
        </is>
      </c>
      <c r="J41" s="36" t="n"/>
      <c r="K41" s="42" t="inlineStr">
        <is>
          <t>Ouvrir</t>
        </is>
      </c>
      <c r="L41" s="38" t="inlineStr">
        <is>
          <t>2026-09-16 10:58</t>
        </is>
      </c>
      <c r="M41" s="38" t="n"/>
      <c r="N41" s="39" t="n"/>
      <c r="O41" s="25" t="inlineStr">
        <is>
          <t>E</t>
        </is>
      </c>
      <c r="P41" s="25" t="inlineStr">
        <is>
          <t>L'asclépiade à Dragons' Den le 17 septembre!</t>
        </is>
      </c>
      <c r="Q41" s="25" t="inlineStr">
        <is>
          <t>Bonjour Jean-Luc,</t>
        </is>
      </c>
      <c r="S41" s="46" t="inlineStr">
        <is>
          <t>Bonjour Jean-Luc,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2" ht="240" customHeight="1" s="26">
      <c r="A42" s="41" t="inlineStr">
        <is>
          <t>A</t>
        </is>
      </c>
      <c r="B42" s="36" t="inlineStr">
        <is>
          <t>Jean-Francois</t>
        </is>
      </c>
      <c r="C42" s="36" t="inlineStr">
        <is>
          <t>Leblanc</t>
        </is>
      </c>
      <c r="D42" s="37" t="inlineStr">
        <is>
          <t>Photographe/vidéaste de reportage</t>
        </is>
      </c>
      <c r="E42" s="36" t="inlineStr">
        <is>
          <t>Pigiste</t>
        </is>
      </c>
      <c r="F42" s="36" t="inlineStr">
        <is>
          <t>jfleblanc@agencestockphoto.com</t>
        </is>
      </c>
      <c r="G42" s="36" t="inlineStr">
        <is>
          <t>514 235-4960</t>
        </is>
      </c>
      <c r="H42" s="36" t="inlineStr">
        <is>
          <t>Laurentides</t>
        </is>
      </c>
      <c r="I42" s="37" t="inlineStr">
        <is>
          <t>Environnement; Plein air; Sciences</t>
        </is>
      </c>
      <c r="J42" s="36" t="n"/>
      <c r="K42" s="42" t="inlineStr">
        <is>
          <t>Ouvrir</t>
        </is>
      </c>
      <c r="L42" s="38" t="inlineStr">
        <is>
          <t>2026-09-16 10:58</t>
        </is>
      </c>
      <c r="M42" s="38" t="n"/>
      <c r="N42" s="39" t="n"/>
      <c r="O42" s="25" t="inlineStr">
        <is>
          <t>F</t>
        </is>
      </c>
      <c r="P42" s="25" t="inlineStr">
        <is>
          <t>L'asclépiade à Dragons' Den le 17 sept!</t>
        </is>
      </c>
      <c r="Q42" s="25" t="inlineStr">
        <is>
          <t>Bonjour Jean-Francois,</t>
        </is>
      </c>
      <c r="R42" s="25" t="inlineStr">
        <is>
          <t>Adresse personnelle : individualiser vraiment</t>
        </is>
      </c>
      <c r="S42" s="46" t="inlineStr">
        <is>
          <t>Bonjour Jean-Francois,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3" ht="240" customHeight="1" s="26">
      <c r="A43" s="41" t="inlineStr">
        <is>
          <t>A</t>
        </is>
      </c>
      <c r="B43" s="36" t="inlineStr">
        <is>
          <t>Julie</t>
        </is>
      </c>
      <c r="C43" s="36" t="inlineStr">
        <is>
          <t>Leduc</t>
        </is>
      </c>
      <c r="D43" s="37" t="inlineStr">
        <is>
          <t>Journaliste</t>
        </is>
      </c>
      <c r="E43" s="36" t="inlineStr">
        <is>
          <t>Naître et Grandir</t>
        </is>
      </c>
      <c r="F43" s="36" t="inlineStr">
        <is>
          <t>julie.leduc@cgocable.ca</t>
        </is>
      </c>
      <c r="G43" s="36" t="n"/>
      <c r="H43" s="36" t="inlineStr">
        <is>
          <t>Montréal</t>
        </is>
      </c>
      <c r="I43" s="37" t="inlineStr">
        <is>
          <t>Art de vivre; Consommation; Environnement; Plein air</t>
        </is>
      </c>
      <c r="J43" s="36" t="n"/>
      <c r="K43" s="42" t="inlineStr">
        <is>
          <t>Ouvrir</t>
        </is>
      </c>
      <c r="L43" s="38" t="inlineStr">
        <is>
          <t>2026-09-16 10:59</t>
        </is>
      </c>
      <c r="M43" s="38" t="n"/>
      <c r="N43" s="39" t="n"/>
      <c r="O43" s="25" t="inlineStr">
        <is>
          <t>F</t>
        </is>
      </c>
      <c r="P43" s="25" t="inlineStr">
        <is>
          <t>L'asclépiade à Dragons' Den le 17 sept!</t>
        </is>
      </c>
      <c r="Q43" s="25" t="inlineStr">
        <is>
          <t>Bonjour Julie,</t>
        </is>
      </c>
      <c r="S43" s="46" t="inlineStr">
        <is>
          <t>Bonjour Julie,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4" ht="240" customHeight="1" s="26">
      <c r="A44" s="41" t="inlineStr">
        <is>
          <t>A</t>
        </is>
      </c>
      <c r="B44" s="36" t="inlineStr">
        <is>
          <t>Annie</t>
        </is>
      </c>
      <c r="C44" s="36" t="inlineStr">
        <is>
          <t>Martin</t>
        </is>
      </c>
      <c r="D44" s="37" t="inlineStr">
        <is>
          <t>journaliste</t>
        </is>
      </c>
      <c r="E44" s="36" t="inlineStr">
        <is>
          <t>Pigiste</t>
        </is>
      </c>
      <c r="F44" s="36" t="inlineStr">
        <is>
          <t>amartin@chga.fm</t>
        </is>
      </c>
      <c r="G44" s="36" t="inlineStr">
        <is>
          <t>8194499730</t>
        </is>
      </c>
      <c r="H44" s="36" t="inlineStr">
        <is>
          <t>Outaouais</t>
        </is>
      </c>
      <c r="I44" s="37" t="inlineStr">
        <is>
          <t>Agriculture; Consommation; Environnement; Plein air; Sciences; Économie</t>
        </is>
      </c>
      <c r="J44" s="36" t="n"/>
      <c r="K44" s="42" t="inlineStr">
        <is>
          <t>Ouvrir</t>
        </is>
      </c>
      <c r="L44" s="38" t="inlineStr">
        <is>
          <t>2026-09-16 11:00</t>
        </is>
      </c>
      <c r="M44" s="38" t="n"/>
      <c r="N44" s="39" t="n"/>
      <c r="O44" s="25" t="inlineStr">
        <is>
          <t>C</t>
        </is>
      </c>
      <c r="P44" s="25" t="inlineStr">
        <is>
          <t>L'asclépiade à Dragons' Den le 17 sept!</t>
        </is>
      </c>
      <c r="Q44" s="25" t="inlineStr">
        <is>
          <t>Bonjour Annie,</t>
        </is>
      </c>
      <c r="R44" s="25" t="inlineStr">
        <is>
          <t>Adresse personnelle : individualiser vraiment</t>
        </is>
      </c>
      <c r="S44" s="46" t="inlineStr">
        <is>
          <t>Bonjour Annie,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5" ht="240" customHeight="1" s="26">
      <c r="A45" s="41" t="inlineStr">
        <is>
          <t>A</t>
        </is>
      </c>
      <c r="B45" s="36" t="inlineStr">
        <is>
          <t>Réjean</t>
        </is>
      </c>
      <c r="C45" s="36" t="inlineStr">
        <is>
          <t>Martin</t>
        </is>
      </c>
      <c r="D45" s="37" t="inlineStr">
        <is>
          <t>Journaliste Le Bulletin des Chenaux</t>
        </is>
      </c>
      <c r="E45" s="36" t="inlineStr">
        <is>
          <t>Pigiste</t>
        </is>
      </c>
      <c r="F45" s="36" t="inlineStr">
        <is>
          <t>redaction.mekinac@lebulletindeschenaux.com</t>
        </is>
      </c>
      <c r="G45" s="36" t="inlineStr">
        <is>
          <t>418 507 1940</t>
        </is>
      </c>
      <c r="H45" s="36" t="inlineStr">
        <is>
          <t>Mauricie</t>
        </is>
      </c>
      <c r="I45" s="37" t="inlineStr">
        <is>
          <t>Agriculture; Consommation; Environnement; Plein air; Sciences; Économie</t>
        </is>
      </c>
      <c r="J45" s="36" t="n"/>
      <c r="K45" s="42" t="inlineStr">
        <is>
          <t>Ouvrir</t>
        </is>
      </c>
      <c r="L45" s="38" t="inlineStr">
        <is>
          <t>2026-09-16 11:00</t>
        </is>
      </c>
      <c r="M45" s="38" t="n"/>
      <c r="N45" s="39" t="n"/>
      <c r="O45" s="25" t="inlineStr">
        <is>
          <t>C</t>
        </is>
      </c>
      <c r="P45" s="25" t="inlineStr">
        <is>
          <t>L'asclépiade de la Mauricie à Dragons' Den!</t>
        </is>
      </c>
      <c r="Q45" s="25" t="inlineStr">
        <is>
          <t>Bonjour Réjean,</t>
        </is>
      </c>
      <c r="R45" s="25" t="inlineStr">
        <is>
          <t>Adresse personnelle : individualiser vraiment</t>
        </is>
      </c>
      <c r="S45" s="46" t="inlineStr">
        <is>
          <t>Bonjour Réjean,
Je m'appelle Gabriel Gouveia, fondateur de [Lasclay](https://lasclay.com). On isole des vêtements d'hiver avec une mauvaise herbe, l'asclépiade, qu'on cultive pour sauvegarder un pollinisateur emblématique et menacé : le papillon monarque.
Vous couvrez Mékinac, donc Saint-Tite, donc l'endroit où l'asclépiade a eu son grand moment industriel au Québec. Le groupe Protec-Style, qui exploitait l'usine sous le nom d'Encore 3, avait réservé 90 % de la récolte québécoise quand il a fait faillite [le 11 octobre 2017](https://ici.radio-canada.ca/nouvelle/1061543/asclepiade-soyer-producteurs-industries-encore3-faillite-monark), et c'est [l'appui de la MRC qui a fait pencher la relance](https://lenouvelliste.ca/affaires/asclepiade-les-activites-reprennent-a-lusine-de-saint-tite-9a7c0d08d77c81c7ab22fdfc8e47a922) six semaines plus tard. On a démarré après. Neuf ans plus tard, on achète encore de l'asclépiade québécoise et on la transforme nous-mêmes à Québec.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Ce jeudi 17 septembre, on va faire un énorme pas dans la bonne direction :
Je vais présenter Lasclay dans le premier épisode de la 21e saison de Dragons' Den, sur CBC et CBC Gem.
Je voulais vous en faire part parce que vos lecteurs ont vu la promesse de l'asclépiade de plus près que n'importe qui. Qui sait, peut-être vous inspirer un sujet sur ce que la plante est devenue depuis. Je peux parler des volumes, de la récolte, et de ce qui reste à régler.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6" ht="240" customHeight="1" s="26">
      <c r="A46" s="41" t="inlineStr">
        <is>
          <t>A</t>
        </is>
      </c>
      <c r="B46" s="36" t="inlineStr">
        <is>
          <t>Charles</t>
        </is>
      </c>
      <c r="C46" s="36" t="inlineStr">
        <is>
          <t>Mathieu</t>
        </is>
      </c>
      <c r="D46" s="37" t="inlineStr">
        <is>
          <t>Journaliste de données</t>
        </is>
      </c>
      <c r="E46" s="36" t="inlineStr">
        <is>
          <t>Quebecor Média</t>
        </is>
      </c>
      <c r="F46" s="36" t="inlineStr">
        <is>
          <t>charles.mathieu@quebecormedia.com</t>
        </is>
      </c>
      <c r="G46" s="36" t="n"/>
      <c r="H46" s="36" t="inlineStr">
        <is>
          <t>Montréal</t>
        </is>
      </c>
      <c r="I46" s="37" t="inlineStr">
        <is>
          <t>Consommation; Environnement; Sciences; Économie</t>
        </is>
      </c>
      <c r="J46" s="36" t="n"/>
      <c r="K46" s="42" t="inlineStr">
        <is>
          <t>Ouvrir</t>
        </is>
      </c>
      <c r="L46" s="38" t="inlineStr">
        <is>
          <t>2026-09-16 11:01</t>
        </is>
      </c>
      <c r="M46" s="38" t="n"/>
      <c r="N46" s="39" t="n"/>
      <c r="O46" s="25" t="inlineStr">
        <is>
          <t>D</t>
        </is>
      </c>
      <c r="P46" s="25" t="inlineStr">
        <is>
          <t>L'asclépiade et les monarques à Dragons' Den!</t>
        </is>
      </c>
      <c r="Q46" s="25" t="inlineStr">
        <is>
          <t>Bonjour Charles,</t>
        </is>
      </c>
      <c r="S46" s="46" t="inlineStr">
        <is>
          <t>Bonjour Charles,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7" ht="240" customHeight="1" s="26">
      <c r="A47" s="41" t="inlineStr">
        <is>
          <t>A</t>
        </is>
      </c>
      <c r="B47" s="36" t="inlineStr">
        <is>
          <t>Clara</t>
        </is>
      </c>
      <c r="C47" s="36" t="inlineStr">
        <is>
          <t>Matthey-Jonais</t>
        </is>
      </c>
      <c r="D47" s="37" t="inlineStr">
        <is>
          <t>Journaliste</t>
        </is>
      </c>
      <c r="E47" s="36" t="inlineStr">
        <is>
          <t>Pigiste</t>
        </is>
      </c>
      <c r="F47" s="36" t="inlineStr">
        <is>
          <t>info@tvbl.ca</t>
        </is>
      </c>
      <c r="G47" s="36" t="n"/>
      <c r="H47" s="36" t="inlineStr">
        <is>
          <t>Montréal</t>
        </is>
      </c>
      <c r="I47" s="37" t="inlineStr">
        <is>
          <t>Agriculture; Art de vivre; Consommation; Environnement; Plein air; Sciences; Économie</t>
        </is>
      </c>
      <c r="J47" s="36" t="n"/>
      <c r="K47" s="42" t="inlineStr">
        <is>
          <t>Ouvrir</t>
        </is>
      </c>
      <c r="L47" s="38" t="inlineStr">
        <is>
          <t>2026-09-16 11:01</t>
        </is>
      </c>
      <c r="M47" s="38" t="n"/>
      <c r="N47" s="39" t="n"/>
      <c r="O47" s="25" t="inlineStr">
        <is>
          <t>C</t>
        </is>
      </c>
      <c r="P47" s="25" t="inlineStr">
        <is>
          <t>L'asclépiade à Dragons' Den le 17 sept!</t>
        </is>
      </c>
      <c r="Q47" s="25" t="inlineStr">
        <is>
          <t>Bonjour Clara,</t>
        </is>
      </c>
      <c r="R47" s="25" t="inlineStr">
        <is>
          <t>Adresse personnelle : individualiser vraiment</t>
        </is>
      </c>
      <c r="S47" s="46" t="inlineStr">
        <is>
          <t>Bonjour Clara,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8" ht="240" customHeight="1" s="26">
      <c r="A48" s="41" t="inlineStr">
        <is>
          <t>A</t>
        </is>
      </c>
      <c r="B48" s="36" t="inlineStr">
        <is>
          <t>Valérian</t>
        </is>
      </c>
      <c r="C48" s="36" t="inlineStr">
        <is>
          <t>Mazataud</t>
        </is>
      </c>
      <c r="D48" s="37" t="inlineStr">
        <is>
          <t>Photojournaliste</t>
        </is>
      </c>
      <c r="E48" s="36" t="inlineStr">
        <is>
          <t>Le Devoir</t>
        </is>
      </c>
      <c r="F48" s="36" t="inlineStr">
        <is>
          <t>vmazataud@ledevoir.com</t>
        </is>
      </c>
      <c r="G48" s="36" t="inlineStr">
        <is>
          <t>514 985-3333</t>
        </is>
      </c>
      <c r="H48" s="36" t="inlineStr">
        <is>
          <t>Montréal</t>
        </is>
      </c>
      <c r="I48" s="37" t="inlineStr">
        <is>
          <t>Agriculture; Art de vivre; Environnement; Plein air; Sciences</t>
        </is>
      </c>
      <c r="J48" s="36" t="n"/>
      <c r="K48" s="42" t="inlineStr">
        <is>
          <t>Ouvrir</t>
        </is>
      </c>
      <c r="L48" s="38" t="inlineStr">
        <is>
          <t>2026-09-16 11:02</t>
        </is>
      </c>
      <c r="M48" s="38" t="n"/>
      <c r="N48" s="39" t="n"/>
      <c r="O48" s="25" t="inlineStr">
        <is>
          <t>C</t>
        </is>
      </c>
      <c r="P48" s="25" t="inlineStr">
        <is>
          <t>L'asclépiade à Dragons' Den le 17 sept!</t>
        </is>
      </c>
      <c r="Q48" s="25" t="inlineStr">
        <is>
          <t>Bonjour Valérian,</t>
        </is>
      </c>
      <c r="S48" s="46" t="inlineStr">
        <is>
          <t>Bonjour Valérian,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49" ht="240" customHeight="1" s="26">
      <c r="A49" s="41" t="inlineStr">
        <is>
          <t>A</t>
        </is>
      </c>
      <c r="B49" s="36" t="inlineStr">
        <is>
          <t>Lili</t>
        </is>
      </c>
      <c r="C49" s="36" t="inlineStr">
        <is>
          <t>Mercure</t>
        </is>
      </c>
      <c r="D49" s="37" t="inlineStr">
        <is>
          <t>Journaliste, télé et radio</t>
        </is>
      </c>
      <c r="E49" s="36" t="inlineStr">
        <is>
          <t>Noovo Info</t>
        </is>
      </c>
      <c r="F49" s="36" t="inlineStr">
        <is>
          <t>lili.mercure@bellmedia.ca</t>
        </is>
      </c>
      <c r="G49" s="36" t="inlineStr">
        <is>
          <t>438 880-3822</t>
        </is>
      </c>
      <c r="H49" s="36" t="inlineStr">
        <is>
          <t>Montréal</t>
        </is>
      </c>
      <c r="I49" s="37" t="inlineStr">
        <is>
          <t>Agriculture; Consommation; Environnement; Économie</t>
        </is>
      </c>
      <c r="J49" s="36" t="n"/>
      <c r="K49" s="42" t="inlineStr">
        <is>
          <t>Ouvrir</t>
        </is>
      </c>
      <c r="L49" s="38" t="inlineStr">
        <is>
          <t>2026-09-16 11:02</t>
        </is>
      </c>
      <c r="M49" s="38" t="n"/>
      <c r="N49" s="39" t="n"/>
      <c r="O49" s="25" t="inlineStr">
        <is>
          <t>I</t>
        </is>
      </c>
      <c r="P49" s="25" t="inlineStr">
        <is>
          <t>L'asclépiade à Dragons' Den le 17 septembre!</t>
        </is>
      </c>
      <c r="Q49" s="25" t="inlineStr">
        <is>
          <t>Bonjour Lili,</t>
        </is>
      </c>
      <c r="S49" s="46" t="inlineStr">
        <is>
          <t>Bonjour Lili,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0" ht="240" customHeight="1" s="26">
      <c r="A50" s="41" t="inlineStr">
        <is>
          <t>A</t>
        </is>
      </c>
      <c r="B50" s="36" t="inlineStr">
        <is>
          <t>Nicolas</t>
        </is>
      </c>
      <c r="C50" s="36" t="inlineStr">
        <is>
          <t>Mesly</t>
        </is>
      </c>
      <c r="D50" s="37" t="inlineStr">
        <is>
          <t>Journaliste, chroniqueur, documentariste, agronome</t>
        </is>
      </c>
      <c r="E50" s="36" t="inlineStr">
        <is>
          <t>Pigiste</t>
        </is>
      </c>
      <c r="F50" s="36" t="inlineStr">
        <is>
          <t>nicolasmesly@gmail.com</t>
        </is>
      </c>
      <c r="G50" s="36" t="inlineStr">
        <is>
          <t>438 992 7727</t>
        </is>
      </c>
      <c r="H50" s="36" t="inlineStr">
        <is>
          <t>Montréal</t>
        </is>
      </c>
      <c r="I50" s="37" t="inlineStr">
        <is>
          <t>Agriculture; Environnement; Sciences; Économie</t>
        </is>
      </c>
      <c r="J50" s="36" t="n"/>
      <c r="K50" s="42" t="inlineStr">
        <is>
          <t>Ouvrir</t>
        </is>
      </c>
      <c r="L50" s="38" t="inlineStr">
        <is>
          <t>2026-09-16 11:03</t>
        </is>
      </c>
      <c r="M50" s="38" t="n"/>
      <c r="N50" s="39" t="n"/>
      <c r="O50" s="25" t="inlineStr">
        <is>
          <t>C</t>
        </is>
      </c>
      <c r="P50" s="25" t="inlineStr">
        <is>
          <t>L'asclépiade à Dragons' Den le 17 sept!</t>
        </is>
      </c>
      <c r="Q50" s="25" t="inlineStr">
        <is>
          <t>Bonjour Nicolas,</t>
        </is>
      </c>
      <c r="R50" s="25" t="inlineStr">
        <is>
          <t>Adresse personnelle : individualiser vraiment</t>
        </is>
      </c>
      <c r="S50" s="46" t="inlineStr">
        <is>
          <t>Bonjour Nicolas,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1" ht="240" customHeight="1" s="26">
      <c r="A51" s="41" t="inlineStr">
        <is>
          <t>A</t>
        </is>
      </c>
      <c r="B51" s="36" t="inlineStr">
        <is>
          <t>Nicolas</t>
        </is>
      </c>
      <c r="C51" s="36" t="inlineStr">
        <is>
          <t>Michaud</t>
        </is>
      </c>
      <c r="D51" s="37" t="inlineStr">
        <is>
          <t>Politologue, journaliste, réviseur linguistique et correcteur d'épreuves</t>
        </is>
      </c>
      <c r="E51" s="36" t="inlineStr">
        <is>
          <t>Pigiste</t>
        </is>
      </c>
      <c r="F51" s="36" t="inlineStr">
        <is>
          <t>nicolas.michaud.1@umontreal.ca</t>
        </is>
      </c>
      <c r="G51" s="36" t="inlineStr">
        <is>
          <t>450 602-2794</t>
        </is>
      </c>
      <c r="H51" s="36" t="inlineStr">
        <is>
          <t>Lanaudière</t>
        </is>
      </c>
      <c r="I51" s="37" t="inlineStr">
        <is>
          <t>Agriculture; Consommation; Environnement; Sciences; Économie</t>
        </is>
      </c>
      <c r="J51" s="36" t="n"/>
      <c r="K51" s="42" t="inlineStr">
        <is>
          <t>Ouvrir</t>
        </is>
      </c>
      <c r="L51" s="38" t="inlineStr">
        <is>
          <t>2026-09-16 11:03</t>
        </is>
      </c>
      <c r="M51" s="38" t="n"/>
      <c r="N51" s="39" t="n"/>
      <c r="O51" s="25" t="inlineStr">
        <is>
          <t>C</t>
        </is>
      </c>
      <c r="P51" s="25" t="inlineStr">
        <is>
          <t>L'asclépiade à Dragons' Den le 17 sept!</t>
        </is>
      </c>
      <c r="Q51" s="25" t="inlineStr">
        <is>
          <t>Bonjour Nicolas,</t>
        </is>
      </c>
      <c r="R51" s="25" t="inlineStr">
        <is>
          <t>Adresse personnelle : individualiser vraiment</t>
        </is>
      </c>
      <c r="S51" s="46" t="inlineStr">
        <is>
          <t>Bonjour Nicolas,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2" ht="240" customHeight="1" s="26">
      <c r="A52" s="41" t="inlineStr">
        <is>
          <t>A</t>
        </is>
      </c>
      <c r="B52" s="36" t="inlineStr">
        <is>
          <t>Véronique</t>
        </is>
      </c>
      <c r="C52" s="36" t="inlineStr">
        <is>
          <t>Morin</t>
        </is>
      </c>
      <c r="D52" s="37" t="inlineStr">
        <is>
          <t>Journaliste - productrice de contenu</t>
        </is>
      </c>
      <c r="E52" s="36" t="inlineStr">
        <is>
          <t>Quebecor Média</t>
        </is>
      </c>
      <c r="F52" s="36" t="inlineStr">
        <is>
          <t>veronique.morin@quebecormedia.com</t>
        </is>
      </c>
      <c r="G52" s="36" t="inlineStr">
        <is>
          <t>581-748-8094</t>
        </is>
      </c>
      <c r="H52" s="36" t="inlineStr">
        <is>
          <t>Capitale-Nationale/Chaudière-Appalaches</t>
        </is>
      </c>
      <c r="I52" s="37" t="inlineStr">
        <is>
          <t>Agriculture; Consommation; Environnement; Sciences</t>
        </is>
      </c>
      <c r="J52" s="36" t="n"/>
      <c r="K52" s="42" t="inlineStr">
        <is>
          <t>Ouvrir</t>
        </is>
      </c>
      <c r="L52" s="38" t="inlineStr">
        <is>
          <t>2026-09-16 11:04</t>
        </is>
      </c>
      <c r="M52" s="38" t="n"/>
      <c r="N52" s="39" t="n"/>
      <c r="O52" s="25" t="inlineStr">
        <is>
          <t>C</t>
        </is>
      </c>
      <c r="P52" s="25" t="inlineStr">
        <is>
          <t>L'asclépiade à Dragons' Den le 17 sept!</t>
        </is>
      </c>
      <c r="Q52" s="25" t="inlineStr">
        <is>
          <t>Bonjour Véronique,</t>
        </is>
      </c>
      <c r="S52" s="46" t="inlineStr">
        <is>
          <t>Bonjour Véronique,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3" ht="240" customHeight="1" s="26">
      <c r="A53" s="41" t="inlineStr">
        <is>
          <t>A</t>
        </is>
      </c>
      <c r="B53" s="36" t="inlineStr">
        <is>
          <t>Lila</t>
        </is>
      </c>
      <c r="C53" s="36" t="inlineStr">
        <is>
          <t>Mouch</t>
        </is>
      </c>
      <c r="D53" s="37" t="inlineStr">
        <is>
          <t>Journaliste</t>
        </is>
      </c>
      <c r="E53" s="36" t="inlineStr">
        <is>
          <t>Noovo Info</t>
        </is>
      </c>
      <c r="F53" s="36" t="inlineStr">
        <is>
          <t>lila.mouch@bellmedia.ca</t>
        </is>
      </c>
      <c r="G53" s="36" t="inlineStr">
        <is>
          <t>416 968-3536</t>
        </is>
      </c>
      <c r="H53" s="36" t="inlineStr">
        <is>
          <t>Montréal</t>
        </is>
      </c>
      <c r="I53" s="37" t="inlineStr">
        <is>
          <t>Agriculture; Consommation; Environnement; Économie</t>
        </is>
      </c>
      <c r="J53" s="36" t="n"/>
      <c r="K53" s="42" t="inlineStr">
        <is>
          <t>Ouvrir</t>
        </is>
      </c>
      <c r="L53" s="38" t="inlineStr">
        <is>
          <t>2026-09-16 11:04</t>
        </is>
      </c>
      <c r="M53" s="38" t="n"/>
      <c r="N53" s="39" t="n"/>
      <c r="O53" s="25" t="inlineStr">
        <is>
          <t>I</t>
        </is>
      </c>
      <c r="P53" s="25" t="inlineStr">
        <is>
          <t>L'asclépiade à Dragons' Den le 17 septembre!</t>
        </is>
      </c>
      <c r="Q53" s="25" t="inlineStr">
        <is>
          <t>Bonjour Lila,</t>
        </is>
      </c>
      <c r="S53" s="46" t="inlineStr">
        <is>
          <t>Bonjour Lila,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4" ht="240" customHeight="1" s="26">
      <c r="A54" s="41" t="inlineStr">
        <is>
          <t>A</t>
        </is>
      </c>
      <c r="B54" s="36" t="inlineStr">
        <is>
          <t>Olivier</t>
        </is>
      </c>
      <c r="C54" s="36" t="inlineStr">
        <is>
          <t>Mougeot</t>
        </is>
      </c>
      <c r="D54" s="37" t="inlineStr">
        <is>
          <t>Journaliste</t>
        </is>
      </c>
      <c r="E54" s="36" t="inlineStr">
        <is>
          <t>Le Soleil</t>
        </is>
      </c>
      <c r="F54" s="36" t="inlineStr">
        <is>
          <t>omougeot@lesoleil.com</t>
        </is>
      </c>
      <c r="G54" s="36" t="n"/>
      <c r="H54" s="36" t="inlineStr">
        <is>
          <t>Capitale-Nationale/Chaudière-Appalaches</t>
        </is>
      </c>
      <c r="I54" s="37" t="inlineStr">
        <is>
          <t>Environnement; Économie</t>
        </is>
      </c>
      <c r="J54" s="36" t="n"/>
      <c r="K54" s="42" t="inlineStr">
        <is>
          <t>Ouvrir</t>
        </is>
      </c>
      <c r="L54" s="38" t="inlineStr">
        <is>
          <t>2026-09-16 11:05</t>
        </is>
      </c>
      <c r="M54" s="38" t="n"/>
      <c r="N54" s="39" t="n"/>
      <c r="O54" s="25" t="inlineStr">
        <is>
          <t>B</t>
        </is>
      </c>
      <c r="P54" s="25" t="inlineStr">
        <is>
          <t>L'asclépiade à Dragons' Den le 17 septembre!</t>
        </is>
      </c>
      <c r="Q54" s="25" t="inlineStr">
        <is>
          <t>Bonjour Olivier,</t>
        </is>
      </c>
      <c r="S54" s="46" t="inlineStr">
        <is>
          <t>Bonjour Olivier,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5" ht="240" customHeight="1" s="26">
      <c r="A55" s="41" t="inlineStr">
        <is>
          <t>A</t>
        </is>
      </c>
      <c r="B55" s="36" t="inlineStr">
        <is>
          <t>Emmanuelle</t>
        </is>
      </c>
      <c r="C55" s="36" t="inlineStr">
        <is>
          <t>Mozayan-Verschaeve</t>
        </is>
      </c>
      <c r="D55" s="37" t="inlineStr">
        <is>
          <t>Journaliste</t>
        </is>
      </c>
      <c r="E55" s="36" t="inlineStr">
        <is>
          <t>Pigiste</t>
        </is>
      </c>
      <c r="F55" s="36" t="inlineStr">
        <is>
          <t>ecritsur@gmail.com</t>
        </is>
      </c>
      <c r="G55" s="36" t="inlineStr">
        <is>
          <t>8194342768</t>
        </is>
      </c>
      <c r="H55" s="36" t="inlineStr">
        <is>
          <t>Laurentides</t>
        </is>
      </c>
      <c r="I55" s="37" t="inlineStr">
        <is>
          <t>Art de vivre; Environnement; Mode et beauté; Plein air; Économie</t>
        </is>
      </c>
      <c r="J55" s="36" t="n"/>
      <c r="K55" s="42" t="inlineStr">
        <is>
          <t>Ouvrir</t>
        </is>
      </c>
      <c r="L55" s="38" t="inlineStr">
        <is>
          <t>2026-09-16 11:05</t>
        </is>
      </c>
      <c r="M55" s="38" t="n"/>
      <c r="N55" s="39" t="n"/>
      <c r="O55" s="25" t="inlineStr">
        <is>
          <t>F</t>
        </is>
      </c>
      <c r="P55" s="25" t="inlineStr">
        <is>
          <t>L'asclépiade à Dragons' Den le 17 sept!</t>
        </is>
      </c>
      <c r="Q55" s="25" t="inlineStr">
        <is>
          <t>Bonjour Emmanuelle,</t>
        </is>
      </c>
      <c r="R55" s="25" t="inlineStr">
        <is>
          <t>Adresse personnelle : individualiser vraiment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t>
        </is>
      </c>
      <c r="S55" s="46" t="inlineStr">
        <is>
          <t>Bonjour Emmanuelle,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6" ht="240" customHeight="1" s="26">
      <c r="A56" s="41" t="inlineStr">
        <is>
          <t>A</t>
        </is>
      </c>
      <c r="B56" s="36" t="inlineStr">
        <is>
          <t>Jean-Benoît</t>
        </is>
      </c>
      <c r="C56" s="36" t="inlineStr">
        <is>
          <t>Nadeau</t>
        </is>
      </c>
      <c r="D56" s="37" t="inlineStr">
        <is>
          <t>Journaliste et chroniqueur</t>
        </is>
      </c>
      <c r="E56" s="36" t="inlineStr">
        <is>
          <t>L’actualité</t>
        </is>
      </c>
      <c r="F56" s="36" t="inlineStr">
        <is>
          <t>jean-benoit@nadeaubarlow.com</t>
        </is>
      </c>
      <c r="G56" s="36" t="inlineStr">
        <is>
          <t>514-728-0357</t>
        </is>
      </c>
      <c r="H56" s="36" t="inlineStr">
        <is>
          <t>Montréal</t>
        </is>
      </c>
      <c r="I56" s="37" t="inlineStr">
        <is>
          <t>Environnement; Plein air; Sciences; Économie</t>
        </is>
      </c>
      <c r="J56" s="36" t="n"/>
      <c r="K56" s="42" t="inlineStr">
        <is>
          <t>Ouvrir</t>
        </is>
      </c>
      <c r="L56" s="38" t="inlineStr">
        <is>
          <t>2026-09-16 11:06</t>
        </is>
      </c>
      <c r="M56" s="38" t="n"/>
      <c r="N56" s="39" t="n"/>
      <c r="O56" s="25" t="inlineStr">
        <is>
          <t>F</t>
        </is>
      </c>
      <c r="P56" s="25" t="inlineStr">
        <is>
          <t>L'asclépiade à Dragons' Den le 17 sept!</t>
        </is>
      </c>
      <c r="Q56" s="25" t="inlineStr">
        <is>
          <t>Bonjour Jean-Benoît,</t>
        </is>
      </c>
      <c r="S56" s="46" t="inlineStr">
        <is>
          <t>Bonjour Jean-Benoît,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7" ht="240" customHeight="1" s="26">
      <c r="A57" s="41" t="inlineStr">
        <is>
          <t>A</t>
        </is>
      </c>
      <c r="B57" s="36" t="inlineStr">
        <is>
          <t>Yves</t>
        </is>
      </c>
      <c r="C57" s="36" t="inlineStr">
        <is>
          <t>Ouellet</t>
        </is>
      </c>
      <c r="D57" s="37" t="inlineStr">
        <is>
          <t>Journaliste, blogueur et photographe</t>
        </is>
      </c>
      <c r="E57" s="36" t="inlineStr">
        <is>
          <t>Pigiste</t>
        </is>
      </c>
      <c r="F57" s="36" t="inlineStr">
        <is>
          <t>y.ouellet@videotron.ca</t>
        </is>
      </c>
      <c r="G57" s="36" t="inlineStr">
        <is>
          <t>4185456952</t>
        </is>
      </c>
      <c r="H57" s="36" t="inlineStr">
        <is>
          <t>Capitale-Nationale/Chaudière-Appalaches</t>
        </is>
      </c>
      <c r="I57" s="37" t="inlineStr">
        <is>
          <t>Plein air</t>
        </is>
      </c>
      <c r="J57" s="36" t="n"/>
      <c r="K57" s="42" t="inlineStr">
        <is>
          <t>Ouvrir</t>
        </is>
      </c>
      <c r="L57" s="38" t="inlineStr">
        <is>
          <t>2026-09-16 11:06</t>
        </is>
      </c>
      <c r="M57" s="38" t="n"/>
      <c r="N57" s="39" t="n"/>
      <c r="O57" s="25" t="inlineStr">
        <is>
          <t>F</t>
        </is>
      </c>
      <c r="P57" s="25" t="inlineStr">
        <is>
          <t>L'asclépiade à Dragons' Den le 17 sept!</t>
        </is>
      </c>
      <c r="Q57" s="25" t="inlineStr">
        <is>
          <t>Bonjour Yves,</t>
        </is>
      </c>
      <c r="R57" s="25" t="inlineStr">
        <is>
          <t>Adresse personnelle : individualiser vraiment</t>
        </is>
      </c>
      <c r="S57" s="46" t="inlineStr">
        <is>
          <t>Bonjour Yves,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8" ht="240" customHeight="1" s="26">
      <c r="A58" s="41" t="inlineStr">
        <is>
          <t>A</t>
        </is>
      </c>
      <c r="B58" s="36" t="inlineStr">
        <is>
          <t>Josée</t>
        </is>
      </c>
      <c r="C58" s="36" t="inlineStr">
        <is>
          <t>Panet-Raymond</t>
        </is>
      </c>
      <c r="D58" s="37" t="inlineStr">
        <is>
          <t>Journaliste</t>
        </is>
      </c>
      <c r="E58" s="36" t="inlineStr">
        <is>
          <t>Pigiste</t>
        </is>
      </c>
      <c r="F58" s="36" t="inlineStr">
        <is>
          <t>jopanray@videotron.ca</t>
        </is>
      </c>
      <c r="G58" s="36" t="inlineStr">
        <is>
          <t>438 944-1541</t>
        </is>
      </c>
      <c r="H58" s="36" t="inlineStr">
        <is>
          <t>Laval</t>
        </is>
      </c>
      <c r="I58" s="37" t="inlineStr">
        <is>
          <t>Agriculture; Art de vivre; Consommation; Environnement; Sciences; Économie</t>
        </is>
      </c>
      <c r="J58" s="36" t="n"/>
      <c r="K58" s="42" t="inlineStr">
        <is>
          <t>Ouvrir</t>
        </is>
      </c>
      <c r="L58" s="38" t="inlineStr">
        <is>
          <t>2026-09-16 11:07</t>
        </is>
      </c>
      <c r="M58" s="38" t="n"/>
      <c r="N58" s="39" t="n"/>
      <c r="O58" s="25" t="inlineStr">
        <is>
          <t>C</t>
        </is>
      </c>
      <c r="P58" s="25" t="inlineStr">
        <is>
          <t>L'asclépiade à Dragons' Den le 17 sept!</t>
        </is>
      </c>
      <c r="Q58" s="25" t="inlineStr">
        <is>
          <t>Bonjour Josée,</t>
        </is>
      </c>
      <c r="R58" s="25" t="inlineStr">
        <is>
          <t>Adresse personnelle : individualiser vraiment</t>
        </is>
      </c>
      <c r="S58" s="46" t="inlineStr">
        <is>
          <t>Bonjour Josée,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59" ht="240" customHeight="1" s="26">
      <c r="A59" s="41" t="inlineStr">
        <is>
          <t>A</t>
        </is>
      </c>
      <c r="B59" s="36" t="inlineStr">
        <is>
          <t>Yannick</t>
        </is>
      </c>
      <c r="C59" s="36" t="inlineStr">
        <is>
          <t>Patelli</t>
        </is>
      </c>
      <c r="D59" s="37" t="inlineStr">
        <is>
          <t>Editeur et directeur général</t>
        </is>
      </c>
      <c r="E59" s="36" t="inlineStr">
        <is>
          <t>Pigiste</t>
        </is>
      </c>
      <c r="F59" s="36" t="inlineStr">
        <is>
          <t>ypatelli@lavieagricole.com</t>
        </is>
      </c>
      <c r="G59" s="36" t="n"/>
      <c r="H59" s="36" t="inlineStr">
        <is>
          <t>Capitale-Nationale/Chaudière-Appalaches</t>
        </is>
      </c>
      <c r="I59" s="37" t="inlineStr">
        <is>
          <t>Agriculture; Consommation; Environnement; Plein air; Sciences; Économie</t>
        </is>
      </c>
      <c r="J59" s="36" t="n"/>
      <c r="K59" s="42" t="inlineStr">
        <is>
          <t>Ouvrir</t>
        </is>
      </c>
      <c r="L59" s="38" t="inlineStr">
        <is>
          <t>2026-09-16 11:07</t>
        </is>
      </c>
      <c r="M59" s="38" t="n"/>
      <c r="N59" s="39" t="n"/>
      <c r="O59" s="25" t="inlineStr">
        <is>
          <t>C</t>
        </is>
      </c>
      <c r="P59" s="25" t="inlineStr">
        <is>
          <t>L'asclépiade à Dragons' Den le 17 sept!</t>
        </is>
      </c>
      <c r="Q59" s="25" t="inlineStr">
        <is>
          <t>Bonjour Yannick,</t>
        </is>
      </c>
      <c r="R59" s="25" t="inlineStr">
        <is>
          <t>Adresse personnelle : individualiser vraiment</t>
        </is>
      </c>
      <c r="S59" s="46" t="inlineStr">
        <is>
          <t>Bonjour Yannick,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0" ht="240" customHeight="1" s="26">
      <c r="A60" s="41" t="inlineStr">
        <is>
          <t>A</t>
        </is>
      </c>
      <c r="B60" s="36" t="inlineStr">
        <is>
          <t>Félix</t>
        </is>
      </c>
      <c r="C60" s="36" t="inlineStr">
        <is>
          <t>Pedneault</t>
        </is>
      </c>
      <c r="D60" s="37" t="inlineStr">
        <is>
          <t>Journaliste multimedia</t>
        </is>
      </c>
      <c r="E60" s="36" t="inlineStr">
        <is>
          <t>Le Devoir</t>
        </is>
      </c>
      <c r="F60" s="36" t="inlineStr">
        <is>
          <t>felix.pedneault21@gmail.com</t>
        </is>
      </c>
      <c r="G60" s="36" t="inlineStr">
        <is>
          <t>514 985-3333</t>
        </is>
      </c>
      <c r="H60" s="36" t="inlineStr">
        <is>
          <t>Montréal</t>
        </is>
      </c>
      <c r="I60" s="37" t="inlineStr">
        <is>
          <t>Consommation; Environnement; Économie</t>
        </is>
      </c>
      <c r="J60" s="36" t="n"/>
      <c r="K60" s="42" t="inlineStr">
        <is>
          <t>Ouvrir</t>
        </is>
      </c>
      <c r="L60" s="38" t="inlineStr">
        <is>
          <t>2026-09-16 11:08</t>
        </is>
      </c>
      <c r="M60" s="38" t="n"/>
      <c r="N60" s="39" t="n"/>
      <c r="O60" s="25" t="inlineStr">
        <is>
          <t>D</t>
        </is>
      </c>
      <c r="P60" s="25" t="inlineStr">
        <is>
          <t>L'asclépiade et les monarques à Dragons' Den!</t>
        </is>
      </c>
      <c r="Q60" s="25" t="inlineStr">
        <is>
          <t>Bonjour Félix,</t>
        </is>
      </c>
      <c r="R60" s="25" t="inlineStr">
        <is>
          <t>Adresse personnelle : individualiser vraiment</t>
        </is>
      </c>
      <c r="S60" s="46" t="inlineStr">
        <is>
          <t>Bonjour Félix,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1" ht="240" customHeight="1" s="26">
      <c r="A61" s="41" t="inlineStr">
        <is>
          <t>A</t>
        </is>
      </c>
      <c r="B61" s="36" t="inlineStr">
        <is>
          <t>Marie-Eve</t>
        </is>
      </c>
      <c r="C61" s="36" t="inlineStr">
        <is>
          <t>Poulin</t>
        </is>
      </c>
      <c r="D61" s="37" t="inlineStr">
        <is>
          <t>Journaliste</t>
        </is>
      </c>
      <c r="E61" s="36" t="inlineStr">
        <is>
          <t>Pigiste</t>
        </is>
      </c>
      <c r="F61" s="36" t="inlineStr">
        <is>
          <t>mepoulin@lenord-cotier.com</t>
        </is>
      </c>
      <c r="G61" s="36" t="inlineStr">
        <is>
          <t>418-960-2090</t>
        </is>
      </c>
      <c r="H61" s="36" t="inlineStr">
        <is>
          <t>Est-du-Québec</t>
        </is>
      </c>
      <c r="I61" s="37" t="inlineStr">
        <is>
          <t>Art de vivre; Consommation; Environnement; Plein air; Sciences; Économie</t>
        </is>
      </c>
      <c r="J61" s="36" t="n"/>
      <c r="K61" s="42" t="inlineStr">
        <is>
          <t>Ouvrir</t>
        </is>
      </c>
      <c r="L61" s="38" t="inlineStr">
        <is>
          <t>2026-09-16 11:08</t>
        </is>
      </c>
      <c r="M61" s="38" t="n"/>
      <c r="N61" s="39" t="n"/>
      <c r="O61" s="25" t="inlineStr">
        <is>
          <t>F</t>
        </is>
      </c>
      <c r="P61" s="25" t="inlineStr">
        <is>
          <t>L'asclépiade à Dragons' Den le 17 sept!</t>
        </is>
      </c>
      <c r="Q61" s="25" t="inlineStr">
        <is>
          <t>Bonjour Marie-Eve,</t>
        </is>
      </c>
      <c r="R61" s="25" t="inlineStr">
        <is>
          <t>Adresse personnelle : individualiser vraiment</t>
        </is>
      </c>
      <c r="S61" s="46" t="inlineStr">
        <is>
          <t>Bonjour Marie-Eve,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2" ht="240" customHeight="1" s="26">
      <c r="A62" s="41" t="inlineStr">
        <is>
          <t>A</t>
        </is>
      </c>
      <c r="B62" s="36" t="inlineStr">
        <is>
          <t>Marie-Hélène</t>
        </is>
      </c>
      <c r="C62" s="36" t="inlineStr">
        <is>
          <t>Proulx</t>
        </is>
      </c>
      <c r="D62" s="37" t="inlineStr">
        <is>
          <t>Journaliste</t>
        </is>
      </c>
      <c r="E62" s="36" t="inlineStr">
        <is>
          <t>L’actualité</t>
        </is>
      </c>
      <c r="F62" s="36" t="inlineStr">
        <is>
          <t>mhproulx@lactualite.com</t>
        </is>
      </c>
      <c r="G62" s="36" t="inlineStr">
        <is>
          <t>5146292135</t>
        </is>
      </c>
      <c r="H62" s="36" t="inlineStr">
        <is>
          <t>Montréal</t>
        </is>
      </c>
      <c r="I62" s="37" t="inlineStr">
        <is>
          <t>Agriculture; Consommation; Économie</t>
        </is>
      </c>
      <c r="J62" s="36" t="n"/>
      <c r="K62" s="42" t="inlineStr">
        <is>
          <t>Ouvrir</t>
        </is>
      </c>
      <c r="L62" s="38" t="inlineStr">
        <is>
          <t>2026-09-16 11:09</t>
        </is>
      </c>
      <c r="M62" s="38" t="n"/>
      <c r="N62" s="39" t="n"/>
      <c r="O62" s="25" t="inlineStr">
        <is>
          <t>C</t>
        </is>
      </c>
      <c r="P62" s="25" t="inlineStr">
        <is>
          <t>L'asclépiade à Dragons' Den le 17 sept!</t>
        </is>
      </c>
      <c r="Q62" s="25" t="inlineStr">
        <is>
          <t>Bonjour Marie-Hélène,</t>
        </is>
      </c>
      <c r="S62" s="46" t="inlineStr">
        <is>
          <t>Bonjour Marie-Hélène,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3" ht="240" customHeight="1" s="26">
      <c r="A63" s="41" t="inlineStr">
        <is>
          <t>A</t>
        </is>
      </c>
      <c r="B63" s="36" t="inlineStr">
        <is>
          <t>Jean-Hugues</t>
        </is>
      </c>
      <c r="C63" s="36" t="inlineStr">
        <is>
          <t>Roy</t>
        </is>
      </c>
      <c r="D63" s="37" t="inlineStr">
        <is>
          <t>Professeur</t>
        </is>
      </c>
      <c r="E63" s="36" t="inlineStr">
        <is>
          <t>Université du Québec à Montréal</t>
        </is>
      </c>
      <c r="F63" s="36" t="inlineStr">
        <is>
          <t>jh@jhroy.ca</t>
        </is>
      </c>
      <c r="G63" s="36" t="inlineStr">
        <is>
          <t>5147786102</t>
        </is>
      </c>
      <c r="H63" s="36" t="inlineStr">
        <is>
          <t>Laurentides</t>
        </is>
      </c>
      <c r="I63" s="37" t="inlineStr">
        <is>
          <t>Environnement; Sciences; Économie</t>
        </is>
      </c>
      <c r="J63" s="36" t="n"/>
      <c r="K63" s="42" t="inlineStr">
        <is>
          <t>Ouvrir</t>
        </is>
      </c>
      <c r="L63" s="38" t="inlineStr">
        <is>
          <t>2026-09-16 11:09</t>
        </is>
      </c>
      <c r="M63" s="38" t="n"/>
      <c r="N63" s="39" t="n"/>
      <c r="O63" s="25" t="inlineStr">
        <is>
          <t>B</t>
        </is>
      </c>
      <c r="P63" s="25" t="inlineStr">
        <is>
          <t>L'asclépiade à Dragons' Den le 17 septembre!</t>
        </is>
      </c>
      <c r="Q63" s="25" t="inlineStr">
        <is>
          <t>Bonjour Jean-Hugues,</t>
        </is>
      </c>
      <c r="S63" s="46" t="inlineStr">
        <is>
          <t>Bonjour Jean-Hugues,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4" ht="240" customHeight="1" s="26">
      <c r="A64" s="41" t="inlineStr">
        <is>
          <t>A</t>
        </is>
      </c>
      <c r="B64" s="36" t="inlineStr">
        <is>
          <t>Martin</t>
        </is>
      </c>
      <c r="C64" s="36" t="inlineStr">
        <is>
          <t>Roy</t>
        </is>
      </c>
      <c r="D64" s="37" t="inlineStr">
        <is>
          <t>Caméraman/Photographe</t>
        </is>
      </c>
      <c r="E64" s="36" t="inlineStr">
        <is>
          <t>Université Laval</t>
        </is>
      </c>
      <c r="F64" s="36" t="inlineStr">
        <is>
          <t>martin.roy@uc.ulaval.ca</t>
        </is>
      </c>
      <c r="G64" s="36" t="inlineStr">
        <is>
          <t>418-656-2131 poste 404579</t>
        </is>
      </c>
      <c r="H64" s="36" t="inlineStr">
        <is>
          <t>Capitale-Nationale/Chaudière-Appalaches</t>
        </is>
      </c>
      <c r="I64" s="37" t="inlineStr">
        <is>
          <t>Agriculture; Environnement; Sciences</t>
        </is>
      </c>
      <c r="J64" s="36" t="n"/>
      <c r="K64" s="42" t="inlineStr">
        <is>
          <t>Ouvrir</t>
        </is>
      </c>
      <c r="L64" s="38" t="inlineStr">
        <is>
          <t>2026-09-16 11:10</t>
        </is>
      </c>
      <c r="M64" s="38" t="n"/>
      <c r="N64" s="39" t="n"/>
      <c r="O64" s="25" t="inlineStr">
        <is>
          <t>B</t>
        </is>
      </c>
      <c r="P64" s="25" t="inlineStr">
        <is>
          <t>L'asclépiade à Dragons' Den le 17 septembre!</t>
        </is>
      </c>
      <c r="Q64" s="25" t="inlineStr">
        <is>
          <t>Bonjour Martin,</t>
        </is>
      </c>
      <c r="S64" s="46" t="inlineStr">
        <is>
          <t>Bonjour Martin,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5" ht="240" customHeight="1" s="26">
      <c r="A65" s="41" t="inlineStr">
        <is>
          <t>A</t>
        </is>
      </c>
      <c r="B65" s="36" t="inlineStr">
        <is>
          <t>Sylvain</t>
        </is>
      </c>
      <c r="C65" s="36" t="inlineStr">
        <is>
          <t>Sarrazin</t>
        </is>
      </c>
      <c r="D65" s="37" t="inlineStr">
        <is>
          <t>Reporter</t>
        </is>
      </c>
      <c r="E65" s="36" t="inlineStr">
        <is>
          <t>La Presse</t>
        </is>
      </c>
      <c r="F65" s="36" t="inlineStr">
        <is>
          <t>ssarrazin@lapresse.ca</t>
        </is>
      </c>
      <c r="G65" s="36" t="inlineStr">
        <is>
          <t>514 285-7000</t>
        </is>
      </c>
      <c r="H65" s="36" t="inlineStr">
        <is>
          <t>Montréal</t>
        </is>
      </c>
      <c r="I65" s="37" t="inlineStr">
        <is>
          <t>Art de vivre; Consommation; Mode et beauté; Plein air; Sciences</t>
        </is>
      </c>
      <c r="J65" s="36" t="n"/>
      <c r="K65" s="42" t="inlineStr">
        <is>
          <t>Ouvrir</t>
        </is>
      </c>
      <c r="L65" s="38" t="inlineStr">
        <is>
          <t>2026-09-16 11:10</t>
        </is>
      </c>
      <c r="M65" s="38" t="n"/>
      <c r="N65" s="39" t="n"/>
      <c r="O65" s="25" t="inlineStr">
        <is>
          <t>F</t>
        </is>
      </c>
      <c r="P65" s="25" t="inlineStr">
        <is>
          <t>L'asclépiade à Dragons' Den le 17 sept!</t>
        </is>
      </c>
      <c r="Q65" s="25" t="inlineStr">
        <is>
          <t>Bonjour Sylvain,</t>
        </is>
      </c>
      <c r="S65" s="46" t="inlineStr">
        <is>
          <t>Bonjour Sylvain,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6" ht="240" customHeight="1" s="26">
      <c r="A66" s="41" t="inlineStr">
        <is>
          <t>A</t>
        </is>
      </c>
      <c r="B66" s="36" t="inlineStr">
        <is>
          <t>Pierre</t>
        </is>
      </c>
      <c r="C66" s="36" t="inlineStr">
        <is>
          <t>Sormany</t>
        </is>
      </c>
      <c r="D66" s="37" t="inlineStr">
        <is>
          <t>Journaliste, producteur et scénariste documentaire.</t>
        </is>
      </c>
      <c r="E66" s="36" t="inlineStr">
        <is>
          <t>Pigiste</t>
        </is>
      </c>
      <c r="F66" s="36" t="inlineStr">
        <is>
          <t>sormanyp@gmail.com</t>
        </is>
      </c>
      <c r="G66" s="36" t="inlineStr">
        <is>
          <t>514-525-7208</t>
        </is>
      </c>
      <c r="H66" s="36" t="inlineStr">
        <is>
          <t>Montréal</t>
        </is>
      </c>
      <c r="I66" s="37" t="inlineStr">
        <is>
          <t>Environnement; Plein air; Sciences; Économie</t>
        </is>
      </c>
      <c r="J66" s="36" t="n"/>
      <c r="K66" s="42" t="inlineStr">
        <is>
          <t>Ouvrir</t>
        </is>
      </c>
      <c r="L66" s="38" t="inlineStr">
        <is>
          <t>2026-09-16 11:11</t>
        </is>
      </c>
      <c r="M66" s="38" t="n"/>
      <c r="N66" s="39" t="n"/>
      <c r="O66" s="25" t="inlineStr">
        <is>
          <t>F</t>
        </is>
      </c>
      <c r="P66" s="25" t="inlineStr">
        <is>
          <t>L'asclépiade à Dragons' Den le 17 sept!</t>
        </is>
      </c>
      <c r="Q66" s="25" t="inlineStr">
        <is>
          <t>Bonjour Pierre,</t>
        </is>
      </c>
      <c r="R66" s="25" t="inlineStr">
        <is>
          <t>Adresse personnelle : individualiser vraiment</t>
        </is>
      </c>
      <c r="S66" s="46" t="inlineStr">
        <is>
          <t>Bonjour Pierre,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7" ht="240" customHeight="1" s="26">
      <c r="A67" s="41" t="inlineStr">
        <is>
          <t>A</t>
        </is>
      </c>
      <c r="B67" s="36" t="inlineStr">
        <is>
          <t>Scott</t>
        </is>
      </c>
      <c r="C67" s="36" t="inlineStr">
        <is>
          <t>Stevenson</t>
        </is>
      </c>
      <c r="D67" s="37" t="inlineStr">
        <is>
          <t>Directeur général</t>
        </is>
      </c>
      <c r="E67" s="36" t="inlineStr">
        <is>
          <t>Pigiste</t>
        </is>
      </c>
      <c r="F67" s="36" t="inlineStr">
        <is>
          <t>direction@journalhsf.com</t>
        </is>
      </c>
      <c r="G67" s="36" t="inlineStr">
        <is>
          <t>819-875-5501</t>
        </is>
      </c>
      <c r="H67" s="36" t="inlineStr">
        <is>
          <t>Estrie</t>
        </is>
      </c>
      <c r="I67" s="37" t="inlineStr">
        <is>
          <t>Agriculture; Environnement; Économie</t>
        </is>
      </c>
      <c r="J67" s="36" t="n"/>
      <c r="K67" s="42" t="inlineStr">
        <is>
          <t>Ouvrir</t>
        </is>
      </c>
      <c r="L67" s="38" t="inlineStr">
        <is>
          <t>2026-09-16 11:11</t>
        </is>
      </c>
      <c r="M67" s="38" t="n"/>
      <c r="N67" s="39" t="n"/>
      <c r="O67" s="25" t="inlineStr">
        <is>
          <t>C</t>
        </is>
      </c>
      <c r="P67" s="25" t="inlineStr">
        <is>
          <t>L'asclépiade de l'Estrie à Dragons' Den!</t>
        </is>
      </c>
      <c r="Q67" s="25" t="inlineStr">
        <is>
          <t>Bonjour Scott,</t>
        </is>
      </c>
      <c r="R67" s="25" t="inlineStr">
        <is>
          <t>Adresse personnelle : individualiser vraiment</t>
        </is>
      </c>
      <c r="S67" s="46" t="inlineStr">
        <is>
          <t>Bonjour Scott,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8" ht="240" customHeight="1" s="26">
      <c r="A68" s="41" t="inlineStr">
        <is>
          <t>A</t>
        </is>
      </c>
      <c r="B68" s="36" t="inlineStr">
        <is>
          <t>Michèle</t>
        </is>
      </c>
      <c r="C68" s="36" t="inlineStr">
        <is>
          <t>Tanganika</t>
        </is>
      </c>
      <c r="D68" s="37" t="inlineStr">
        <is>
          <t>journaliste</t>
        </is>
      </c>
      <c r="E68" s="36" t="inlineStr">
        <is>
          <t>Pigiste</t>
        </is>
      </c>
      <c r="F68" s="36" t="inlineStr">
        <is>
          <t>mtanganika@chga.fm</t>
        </is>
      </c>
      <c r="G68" s="36" t="inlineStr">
        <is>
          <t>8194499730</t>
        </is>
      </c>
      <c r="H68" s="36" t="inlineStr">
        <is>
          <t>Outaouais</t>
        </is>
      </c>
      <c r="I68" s="37" t="inlineStr">
        <is>
          <t>Agriculture; Environnement; Plein air; Sciences; Économie</t>
        </is>
      </c>
      <c r="J68" s="36" t="n"/>
      <c r="K68" s="42" t="inlineStr">
        <is>
          <t>Ouvrir</t>
        </is>
      </c>
      <c r="L68" s="38" t="inlineStr">
        <is>
          <t>2026-09-16 11:12</t>
        </is>
      </c>
      <c r="M68" s="38" t="n"/>
      <c r="N68" s="39" t="n"/>
      <c r="O68" s="25" t="inlineStr">
        <is>
          <t>C</t>
        </is>
      </c>
      <c r="P68" s="25" t="inlineStr">
        <is>
          <t>L'asclépiade à Dragons' Den le 17 sept!</t>
        </is>
      </c>
      <c r="Q68" s="25" t="inlineStr">
        <is>
          <t>Bonjour Michèle,</t>
        </is>
      </c>
      <c r="R68" s="25" t="inlineStr">
        <is>
          <t>Adresse personnelle : individualiser vraiment</t>
        </is>
      </c>
      <c r="S68" s="46" t="inlineStr">
        <is>
          <t>Bonjour Michèle,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69" ht="240" customHeight="1" s="26">
      <c r="A69" s="41" t="inlineStr">
        <is>
          <t>A</t>
        </is>
      </c>
      <c r="B69" s="36" t="inlineStr">
        <is>
          <t>Stephane</t>
        </is>
      </c>
      <c r="C69" s="36" t="inlineStr">
        <is>
          <t>Tellier</t>
        </is>
      </c>
      <c r="D69" s="37" t="inlineStr">
        <is>
          <t>Animateur-journaliste pigiste</t>
        </is>
      </c>
      <c r="E69" s="36" t="inlineStr">
        <is>
          <t>SUMMUM</t>
        </is>
      </c>
      <c r="F69" s="36" t="inlineStr">
        <is>
          <t>bourlingueurstephanetellier@gmail.com</t>
        </is>
      </c>
      <c r="G69" s="36" t="inlineStr">
        <is>
          <t>5145493872</t>
        </is>
      </c>
      <c r="H69" s="36" t="inlineStr">
        <is>
          <t>Montréal</t>
        </is>
      </c>
      <c r="I69" s="37" t="inlineStr">
        <is>
          <t>Art de vivre; Environnement; Plein air; Économie</t>
        </is>
      </c>
      <c r="J69" s="36" t="n"/>
      <c r="K69" s="42" t="inlineStr">
        <is>
          <t>Ouvrir</t>
        </is>
      </c>
      <c r="L69" s="38" t="inlineStr">
        <is>
          <t>2026-09-16 11:13</t>
        </is>
      </c>
      <c r="M69" s="38" t="n"/>
      <c r="N69" s="39" t="n"/>
      <c r="O69" s="25" t="inlineStr">
        <is>
          <t>I</t>
        </is>
      </c>
      <c r="P69" s="25" t="inlineStr">
        <is>
          <t>L'asclépiade à Dragons' Den le 17 septembre!</t>
        </is>
      </c>
      <c r="Q69" s="25" t="inlineStr">
        <is>
          <t>Bonjour Stephane,</t>
        </is>
      </c>
      <c r="R69" s="25" t="inlineStr">
        <is>
          <t>Adresse personnelle : individualiser vraiment</t>
        </is>
      </c>
      <c r="S69" s="46" t="inlineStr">
        <is>
          <t>Bonjour Stephane,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0" ht="240" customHeight="1" s="26">
      <c r="A70" s="41" t="inlineStr">
        <is>
          <t>A</t>
        </is>
      </c>
      <c r="B70" s="36" t="inlineStr">
        <is>
          <t>Karine</t>
        </is>
      </c>
      <c r="C70" s="36" t="inlineStr">
        <is>
          <t>Tremblay</t>
        </is>
      </c>
      <c r="D70" s="37" t="inlineStr">
        <is>
          <t>Journaliste et chroniqueuse</t>
        </is>
      </c>
      <c r="E70" s="36" t="inlineStr">
        <is>
          <t>La Tribune</t>
        </is>
      </c>
      <c r="F70" s="36" t="inlineStr">
        <is>
          <t>karine.tremblay@latribune.qc.ca</t>
        </is>
      </c>
      <c r="G70" s="36" t="inlineStr">
        <is>
          <t>819-345-7991</t>
        </is>
      </c>
      <c r="H70" s="36" t="inlineStr">
        <is>
          <t>Estrie</t>
        </is>
      </c>
      <c r="I70" s="37" t="inlineStr">
        <is>
          <t>Agriculture; Art de vivre; Consommation; Environnement</t>
        </is>
      </c>
      <c r="J70" s="36" t="n"/>
      <c r="K70" s="42" t="inlineStr">
        <is>
          <t>Ouvrir</t>
        </is>
      </c>
      <c r="L70" s="38" t="inlineStr">
        <is>
          <t>2026-09-16 11:13</t>
        </is>
      </c>
      <c r="M70" s="38" t="n"/>
      <c r="N70" s="39" t="n"/>
      <c r="O70" s="25" t="inlineStr">
        <is>
          <t>B</t>
        </is>
      </c>
      <c r="P70" s="25" t="inlineStr">
        <is>
          <t>L'asclépiade de l'Estrie à Dragons' Den!</t>
        </is>
      </c>
      <c r="Q70" s="25" t="inlineStr">
        <is>
          <t>Bonjour Karine,</t>
        </is>
      </c>
      <c r="S70" s="46" t="inlineStr">
        <is>
          <t>Bonjour Karine,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1" ht="240" customHeight="1" s="26">
      <c r="A71" s="41" t="inlineStr">
        <is>
          <t>A</t>
        </is>
      </c>
      <c r="B71" s="36" t="inlineStr">
        <is>
          <t>Jean-Francois</t>
        </is>
      </c>
      <c r="C71" s="36" t="inlineStr">
        <is>
          <t>Venne</t>
        </is>
      </c>
      <c r="D71" s="37" t="inlineStr">
        <is>
          <t>Journaliste</t>
        </is>
      </c>
      <c r="E71" s="36" t="inlineStr">
        <is>
          <t>Pigiste</t>
        </is>
      </c>
      <c r="F71" s="36" t="inlineStr">
        <is>
          <t>jf_venne@videotron.ca</t>
        </is>
      </c>
      <c r="G71" s="36" t="n"/>
      <c r="H71" s="36" t="inlineStr">
        <is>
          <t>Montréal</t>
        </is>
      </c>
      <c r="I71" s="37" t="inlineStr">
        <is>
          <t>Environnement; Sciences; Économie</t>
        </is>
      </c>
      <c r="J71" s="36" t="n"/>
      <c r="K71" s="42" t="inlineStr">
        <is>
          <t>Ouvrir</t>
        </is>
      </c>
      <c r="L71" s="38" t="inlineStr">
        <is>
          <t>2026-09-16 11:14</t>
        </is>
      </c>
      <c r="M71" s="38" t="n"/>
      <c r="N71" s="39" t="n"/>
      <c r="O71" s="25" t="inlineStr">
        <is>
          <t>D</t>
        </is>
      </c>
      <c r="P71" s="25" t="inlineStr">
        <is>
          <t>L'asclépiade et les monarques à Dragons' Den!</t>
        </is>
      </c>
      <c r="Q71" s="25" t="inlineStr">
        <is>
          <t>Bonjour Jean-Francois,</t>
        </is>
      </c>
      <c r="R71" s="25" t="inlineStr">
        <is>
          <t>Adresse personnelle : individualiser vraiment</t>
        </is>
      </c>
      <c r="S71" s="46" t="inlineStr">
        <is>
          <t>Bonjour Jean-Francois,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2" ht="240" customHeight="1" s="26">
      <c r="A72" s="41" t="inlineStr">
        <is>
          <t>A</t>
        </is>
      </c>
      <c r="B72" s="36" t="inlineStr">
        <is>
          <t>Shahram</t>
        </is>
      </c>
      <c r="C72" s="36" t="inlineStr">
        <is>
          <t>Yazdanpanah</t>
        </is>
      </c>
      <c r="D72" s="37" t="inlineStr">
        <is>
          <t>Rédacteur en chef</t>
        </is>
      </c>
      <c r="E72" s="36" t="inlineStr">
        <is>
          <t>Medad</t>
        </is>
      </c>
      <c r="F72" s="36" t="inlineStr">
        <is>
          <t>shram.yazd@gmail.com</t>
        </is>
      </c>
      <c r="G72" s="36" t="inlineStr">
        <is>
          <t>438 738-8068</t>
        </is>
      </c>
      <c r="H72" s="36" t="inlineStr">
        <is>
          <t>Montréal</t>
        </is>
      </c>
      <c r="I72" s="37" t="inlineStr">
        <is>
          <t>Art de vivre; Consommation; Environnement; Plein air; Sciences; Économie</t>
        </is>
      </c>
      <c r="J72" s="36" t="n"/>
      <c r="K72" s="42" t="inlineStr">
        <is>
          <t>Ouvrir</t>
        </is>
      </c>
      <c r="L72" s="38" t="inlineStr">
        <is>
          <t>2026-09-16 11:14</t>
        </is>
      </c>
      <c r="M72" s="38" t="n"/>
      <c r="N72" s="39" t="n"/>
      <c r="O72" s="25" t="inlineStr">
        <is>
          <t>F</t>
        </is>
      </c>
      <c r="P72" s="25" t="inlineStr">
        <is>
          <t>L'asclépiade à Dragons' Den le 17 sept!</t>
        </is>
      </c>
      <c r="Q72" s="25" t="inlineStr">
        <is>
          <t>Bonjour Shahram,</t>
        </is>
      </c>
      <c r="R72" s="25" t="inlineStr">
        <is>
          <t>Adresse personnelle : individualiser vraiment</t>
        </is>
      </c>
      <c r="S72" s="46" t="inlineStr">
        <is>
          <t>Bonjour Shahram,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3" ht="240" customHeight="1" s="26">
      <c r="A73" s="43" t="inlineStr">
        <is>
          <t>B</t>
        </is>
      </c>
      <c r="B73" s="36" t="inlineStr">
        <is>
          <t>Malika</t>
        </is>
      </c>
      <c r="C73" s="36" t="inlineStr">
        <is>
          <t>Alaoui</t>
        </is>
      </c>
      <c r="D73" s="37" t="inlineStr">
        <is>
          <t>Journaliste</t>
        </is>
      </c>
      <c r="E73" s="36" t="inlineStr">
        <is>
          <t>Pigiste</t>
        </is>
      </c>
      <c r="F73" s="36" t="inlineStr">
        <is>
          <t>alaoui.malika514@gmail.com</t>
        </is>
      </c>
      <c r="G73" s="36" t="n"/>
      <c r="H73" s="36" t="inlineStr">
        <is>
          <t>Montréal</t>
        </is>
      </c>
      <c r="I73" s="37" t="inlineStr">
        <is>
          <t>Art de vivre; Consommation; Environnement; Mode et beauté</t>
        </is>
      </c>
      <c r="J73" s="36" t="n"/>
      <c r="K73" s="42" t="inlineStr">
        <is>
          <t>Ouvrir</t>
        </is>
      </c>
      <c r="L73" s="38" t="inlineStr">
        <is>
          <t>2026-09-16 11:15</t>
        </is>
      </c>
      <c r="M73" s="38" t="n"/>
      <c r="N73" s="39" t="n"/>
      <c r="O73" s="25" t="inlineStr">
        <is>
          <t>G</t>
        </is>
      </c>
      <c r="P73" s="25" t="inlineStr">
        <is>
          <t>L'asclépiade à Dragons' Den!</t>
        </is>
      </c>
      <c r="Q73" s="25" t="inlineStr">
        <is>
          <t>Bonjour Malika,</t>
        </is>
      </c>
      <c r="R73" s="25" t="inlineStr">
        <is>
          <t>Adresse personnelle : individualiser vraiment</t>
        </is>
      </c>
      <c r="S73" s="46" t="inlineStr">
        <is>
          <t>Bonjour Malika,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4" ht="240" customHeight="1" s="26">
      <c r="A74" s="43" t="inlineStr">
        <is>
          <t>B</t>
        </is>
      </c>
      <c r="B74" s="36" t="inlineStr">
        <is>
          <t>Yahia</t>
        </is>
      </c>
      <c r="C74" s="36" t="inlineStr">
        <is>
          <t>Arkat</t>
        </is>
      </c>
      <c r="D74" s="37" t="inlineStr">
        <is>
          <t>Journaliste</t>
        </is>
      </c>
      <c r="E74" s="36" t="inlineStr">
        <is>
          <t>Agence QMI</t>
        </is>
      </c>
      <c r="F74" s="36" t="inlineStr">
        <is>
          <t>dayenkan@yahoo.fr</t>
        </is>
      </c>
      <c r="G74" s="36" t="inlineStr">
        <is>
          <t>514 380-1997</t>
        </is>
      </c>
      <c r="H74" s="36" t="inlineStr">
        <is>
          <t>Montréal</t>
        </is>
      </c>
      <c r="I74" s="37" t="inlineStr">
        <is>
          <t>Environnement; Économie</t>
        </is>
      </c>
      <c r="J74" s="36" t="n"/>
      <c r="K74" s="42" t="inlineStr">
        <is>
          <t>Ouvrir</t>
        </is>
      </c>
      <c r="L74" s="38" t="inlineStr">
        <is>
          <t>2026-09-16 11:15</t>
        </is>
      </c>
      <c r="M74" s="38" t="n"/>
      <c r="N74" s="39" t="n"/>
      <c r="O74" s="25" t="inlineStr">
        <is>
          <t>D</t>
        </is>
      </c>
      <c r="P74" s="25" t="inlineStr">
        <is>
          <t>L'asclépiade et les monarques à Dragons' Den!</t>
        </is>
      </c>
      <c r="Q74" s="25" t="inlineStr">
        <is>
          <t>Bonjour Yahia,</t>
        </is>
      </c>
      <c r="S74" s="46" t="inlineStr">
        <is>
          <t>Bonjour Yahia,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5" ht="240" customHeight="1" s="26">
      <c r="A75" s="43" t="inlineStr">
        <is>
          <t>B</t>
        </is>
      </c>
      <c r="B75" s="36" t="inlineStr">
        <is>
          <t>Marc-Olivier</t>
        </is>
      </c>
      <c r="C75" s="36" t="inlineStr">
        <is>
          <t>BISSON</t>
        </is>
      </c>
      <c r="D75" s="37" t="inlineStr">
        <is>
          <t>Journaliste</t>
        </is>
      </c>
      <c r="E75" s="36" t="inlineStr">
        <is>
          <t>Pigiste</t>
        </is>
      </c>
      <c r="F75" s="36" t="inlineStr">
        <is>
          <t>mobisson@ledroit.com</t>
        </is>
      </c>
      <c r="G75" s="36" t="inlineStr">
        <is>
          <t>8192719156</t>
        </is>
      </c>
      <c r="H75" s="36" t="inlineStr">
        <is>
          <t>Laurentides</t>
        </is>
      </c>
      <c r="I75" s="37" t="inlineStr">
        <is>
          <t>Agriculture; Environnement</t>
        </is>
      </c>
      <c r="J75" s="36" t="n"/>
      <c r="K75" s="42" t="inlineStr">
        <is>
          <t>Ouvrir</t>
        </is>
      </c>
      <c r="L75" s="38" t="inlineStr">
        <is>
          <t>2026-09-16 11:16</t>
        </is>
      </c>
      <c r="M75" s="38" t="n"/>
      <c r="N75" s="39" t="n"/>
      <c r="O75" s="25" t="inlineStr">
        <is>
          <t>C</t>
        </is>
      </c>
      <c r="P75" s="25" t="inlineStr">
        <is>
          <t>L'asclépiade à Dragons' Den le 17 sept!</t>
        </is>
      </c>
      <c r="Q75" s="25" t="inlineStr">
        <is>
          <t>Bonjour MARC-OLIVIER,</t>
        </is>
      </c>
      <c r="R75" s="25" t="inlineStr">
        <is>
          <t>Adresse personnelle : individualiser vraiment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t>
        </is>
      </c>
      <c r="S75" s="46" t="inlineStr">
        <is>
          <t>Bonjour Marc-Olivier,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6" ht="240" customHeight="1" s="26">
      <c r="A76" s="43" t="inlineStr">
        <is>
          <t>B</t>
        </is>
      </c>
      <c r="B76" s="36" t="inlineStr">
        <is>
          <t>Maïté</t>
        </is>
      </c>
      <c r="C76" s="36" t="inlineStr">
        <is>
          <t>Belmir</t>
        </is>
      </c>
      <c r="D76" s="37" t="inlineStr">
        <is>
          <t>Journaliste - chroniqueuse radio</t>
        </is>
      </c>
      <c r="E76" s="36" t="inlineStr">
        <is>
          <t>Pigiste</t>
        </is>
      </c>
      <c r="F76" s="36" t="inlineStr">
        <is>
          <t>belmirmaitepro@gmail.com</t>
        </is>
      </c>
      <c r="G76" s="36" t="n"/>
      <c r="H76" s="36" t="inlineStr">
        <is>
          <t>Montréal</t>
        </is>
      </c>
      <c r="I76" s="37" t="inlineStr">
        <is>
          <t>Consommation; Environnement</t>
        </is>
      </c>
      <c r="J76" s="36" t="n"/>
      <c r="K76" s="42" t="inlineStr">
        <is>
          <t>Ouvrir</t>
        </is>
      </c>
      <c r="L76" s="38" t="inlineStr">
        <is>
          <t>2026-09-16 11:16</t>
        </is>
      </c>
      <c r="M76" s="38" t="n"/>
      <c r="N76" s="39" t="n"/>
      <c r="O76" s="25" t="inlineStr">
        <is>
          <t>D</t>
        </is>
      </c>
      <c r="P76" s="25" t="inlineStr">
        <is>
          <t>L'asclépiade et les monarques à Dragons' Den!</t>
        </is>
      </c>
      <c r="Q76" s="25" t="inlineStr">
        <is>
          <t>Bonjour Maïté,</t>
        </is>
      </c>
      <c r="R76" s="25" t="inlineStr">
        <is>
          <t>Adresse personnelle : individualiser vraiment</t>
        </is>
      </c>
      <c r="S76" s="46" t="inlineStr">
        <is>
          <t>Bonjour Maïté,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7" ht="240" customHeight="1" s="26">
      <c r="A77" s="43" t="inlineStr">
        <is>
          <t>B</t>
        </is>
      </c>
      <c r="B77" s="36" t="inlineStr">
        <is>
          <t>André</t>
        </is>
      </c>
      <c r="C77" s="36" t="inlineStr">
        <is>
          <t>Bernard</t>
        </is>
      </c>
      <c r="D77" s="37" t="inlineStr">
        <is>
          <t>Journaliste - reporter</t>
        </is>
      </c>
      <c r="E77" s="36" t="inlineStr">
        <is>
          <t>Radio-Canada (Montréal)</t>
        </is>
      </c>
      <c r="F77" s="36" t="inlineStr">
        <is>
          <t>andre.bernard_tv@radio-canada.ca</t>
        </is>
      </c>
      <c r="G77" s="36" t="n"/>
      <c r="H77" s="36" t="inlineStr">
        <is>
          <t>Montréal</t>
        </is>
      </c>
      <c r="I77" s="37" t="inlineStr">
        <is>
          <t>Environnement; Sciences</t>
        </is>
      </c>
      <c r="J77" s="36" t="n"/>
      <c r="K77" s="42" t="inlineStr">
        <is>
          <t>Ouvrir</t>
        </is>
      </c>
      <c r="L77" s="38" t="inlineStr">
        <is>
          <t>2026-09-16 11:17</t>
        </is>
      </c>
      <c r="M77" s="38" t="n"/>
      <c r="N77" s="39" t="n"/>
      <c r="O77" s="25" t="inlineStr">
        <is>
          <t>D</t>
        </is>
      </c>
      <c r="P77" s="25" t="inlineStr">
        <is>
          <t>L'asclépiade et les monarques à Dragons' Den!</t>
        </is>
      </c>
      <c r="Q77" s="25" t="inlineStr">
        <is>
          <t>Bonjour André,</t>
        </is>
      </c>
      <c r="S77" s="46" t="inlineStr">
        <is>
          <t>Bonjour André,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8" ht="240" customHeight="1" s="26">
      <c r="A78" s="43" t="inlineStr">
        <is>
          <t>B</t>
        </is>
      </c>
      <c r="B78" s="36" t="inlineStr">
        <is>
          <t>Didier</t>
        </is>
      </c>
      <c r="C78" s="36" t="inlineStr">
        <is>
          <t>Bert</t>
        </is>
      </c>
      <c r="D78" s="37" t="inlineStr">
        <is>
          <t>Journaliste indépendant</t>
        </is>
      </c>
      <c r="E78" s="36" t="inlineStr">
        <is>
          <t>Pigiste</t>
        </is>
      </c>
      <c r="F78" s="36" t="inlineStr">
        <is>
          <t>didier@didierbert.com</t>
        </is>
      </c>
      <c r="G78" s="36" t="inlineStr">
        <is>
          <t>514-654-9254</t>
        </is>
      </c>
      <c r="H78" s="36" t="inlineStr">
        <is>
          <t>France</t>
        </is>
      </c>
      <c r="I78" s="37" t="inlineStr">
        <is>
          <t>Sciences; Économie</t>
        </is>
      </c>
      <c r="J78" s="36" t="n"/>
      <c r="K78" s="42" t="inlineStr">
        <is>
          <t>Ouvrir</t>
        </is>
      </c>
      <c r="L78" s="38" t="inlineStr">
        <is>
          <t>2026-09-16 11:17</t>
        </is>
      </c>
      <c r="M78" s="38" t="n"/>
      <c r="N78" s="39" t="n"/>
      <c r="O78" s="25" t="inlineStr">
        <is>
          <t>D</t>
        </is>
      </c>
      <c r="P78" s="25" t="inlineStr">
        <is>
          <t>L'asclépiade et les monarques à Dragons' Den!</t>
        </is>
      </c>
      <c r="Q78" s="25" t="inlineStr">
        <is>
          <t>Bonjour Didier,</t>
        </is>
      </c>
      <c r="R78" s="25" t="inlineStr">
        <is>
          <t>Adresse personnelle : individualiser vraiment</t>
        </is>
      </c>
      <c r="S78" s="46" t="inlineStr">
        <is>
          <t>Bonjour Didier,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79" ht="240" customHeight="1" s="26">
      <c r="A79" s="43" t="inlineStr">
        <is>
          <t>B</t>
        </is>
      </c>
      <c r="B79" s="36" t="inlineStr">
        <is>
          <t>Sophie-Andrée</t>
        </is>
      </c>
      <c r="C79" s="36" t="inlineStr">
        <is>
          <t>Blondin</t>
        </is>
      </c>
      <c r="D79" s="37" t="inlineStr">
        <is>
          <t>Journaliste- animatrice</t>
        </is>
      </c>
      <c r="E79" s="36" t="inlineStr">
        <is>
          <t>Radio-Canada (Montréal)</t>
        </is>
      </c>
      <c r="F79" s="36" t="inlineStr">
        <is>
          <t>sophie-andree.blondin@radio-canada.ca</t>
        </is>
      </c>
      <c r="G79" s="36" t="n"/>
      <c r="H79" s="36" t="inlineStr">
        <is>
          <t>Montréal</t>
        </is>
      </c>
      <c r="I79" s="37" t="inlineStr">
        <is>
          <t>Environnement; Sciences</t>
        </is>
      </c>
      <c r="J79" s="36" t="n"/>
      <c r="K79" s="42" t="inlineStr">
        <is>
          <t>Ouvrir</t>
        </is>
      </c>
      <c r="L79" s="38" t="inlineStr">
        <is>
          <t>2026-09-16 11:18</t>
        </is>
      </c>
      <c r="M79" s="38" t="n"/>
      <c r="N79" s="39" t="n"/>
      <c r="O79" s="25" t="inlineStr">
        <is>
          <t>I</t>
        </is>
      </c>
      <c r="P79" s="25" t="inlineStr">
        <is>
          <t>L'asclépiade à Dragons' Den le 17 septembre!</t>
        </is>
      </c>
      <c r="Q79" s="25" t="inlineStr">
        <is>
          <t>Bonjour Sophie-Andrée,</t>
        </is>
      </c>
      <c r="S79" s="46" t="inlineStr">
        <is>
          <t>Bonjour Sophie-Andrée,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0" ht="240" customHeight="1" s="26">
      <c r="A80" s="43" t="inlineStr">
        <is>
          <t>B</t>
        </is>
      </c>
      <c r="B80" s="36" t="inlineStr">
        <is>
          <t>Pierre</t>
        </is>
      </c>
      <c r="C80" s="36" t="inlineStr">
        <is>
          <t>Brochu</t>
        </is>
      </c>
      <c r="D80" s="37" t="inlineStr">
        <is>
          <t>Réalisateur - recherchiste-scénariste</t>
        </is>
      </c>
      <c r="E80" s="36" t="inlineStr">
        <is>
          <t>Ubique Film</t>
        </is>
      </c>
      <c r="F80" s="36" t="inlineStr">
        <is>
          <t>pierre@ubiquefilm.com</t>
        </is>
      </c>
      <c r="G80" s="36" t="inlineStr">
        <is>
          <t>514-386-3390</t>
        </is>
      </c>
      <c r="H80" s="36" t="inlineStr">
        <is>
          <t>Estrie</t>
        </is>
      </c>
      <c r="I80" s="37" t="inlineStr">
        <is>
          <t>Environnement; Sciences</t>
        </is>
      </c>
      <c r="J80" s="36" t="n"/>
      <c r="K80" s="42" t="inlineStr">
        <is>
          <t>Ouvrir</t>
        </is>
      </c>
      <c r="L80" s="38" t="inlineStr">
        <is>
          <t>2026-09-16 11:18</t>
        </is>
      </c>
      <c r="M80" s="38" t="n"/>
      <c r="N80" s="39" t="n"/>
      <c r="O80" s="25" t="inlineStr">
        <is>
          <t>I</t>
        </is>
      </c>
      <c r="P80" s="25" t="inlineStr">
        <is>
          <t>L'asclépiade de l'Estrie à Dragons' Den!</t>
        </is>
      </c>
      <c r="Q80" s="25" t="inlineStr">
        <is>
          <t>Bonjour Pierre,</t>
        </is>
      </c>
      <c r="S80" s="46" t="inlineStr">
        <is>
          <t>Bonjour Pierre,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1" ht="240" customHeight="1" s="26">
      <c r="A81" s="43" t="inlineStr">
        <is>
          <t>B</t>
        </is>
      </c>
      <c r="B81" s="36" t="inlineStr">
        <is>
          <t>Gilles</t>
        </is>
      </c>
      <c r="C81" s="36" t="inlineStr">
        <is>
          <t>Bérubé</t>
        </is>
      </c>
      <c r="D81" s="37" t="inlineStr">
        <is>
          <t>Journaliste</t>
        </is>
      </c>
      <c r="E81" s="36" t="inlineStr">
        <is>
          <t>Pigiste</t>
        </is>
      </c>
      <c r="F81" s="36" t="inlineStr">
        <is>
          <t>gilles-berube@hotmail.com</t>
        </is>
      </c>
      <c r="G81" s="36" t="inlineStr">
        <is>
          <t>450 210-1362</t>
        </is>
      </c>
      <c r="H81" s="36" t="inlineStr">
        <is>
          <t>Montérégie</t>
        </is>
      </c>
      <c r="I81" s="37" t="inlineStr">
        <is>
          <t>Agriculture; Environnement</t>
        </is>
      </c>
      <c r="J81" s="36" t="n"/>
      <c r="K81" s="42" t="inlineStr">
        <is>
          <t>Ouvrir</t>
        </is>
      </c>
      <c r="L81" s="38" t="inlineStr">
        <is>
          <t>2026-09-16 11:19</t>
        </is>
      </c>
      <c r="M81" s="38" t="n"/>
      <c r="N81" s="39" t="n"/>
      <c r="O81" s="25" t="inlineStr">
        <is>
          <t>C</t>
        </is>
      </c>
      <c r="P81" s="25" t="inlineStr">
        <is>
          <t>L'asclépiade de la Montérégie à Dragons' Den!</t>
        </is>
      </c>
      <c r="Q81" s="25" t="inlineStr">
        <is>
          <t>Bonjour Gilles,</t>
        </is>
      </c>
      <c r="R81" s="25" t="inlineStr">
        <is>
          <t>Adresse personnelle : individualiser vraiment</t>
        </is>
      </c>
      <c r="S81" s="46" t="inlineStr">
        <is>
          <t>Bonjour Gilles,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2" ht="240" customHeight="1" s="26">
      <c r="A82" s="43" t="inlineStr">
        <is>
          <t>B</t>
        </is>
      </c>
      <c r="B82" s="36" t="inlineStr">
        <is>
          <t>Daphné</t>
        </is>
      </c>
      <c r="C82" s="36" t="inlineStr">
        <is>
          <t>Cameron</t>
        </is>
      </c>
      <c r="D82" s="37" t="inlineStr">
        <is>
          <t>Reporter</t>
        </is>
      </c>
      <c r="E82" s="36" t="inlineStr">
        <is>
          <t>La Presse</t>
        </is>
      </c>
      <c r="F82" s="36" t="inlineStr">
        <is>
          <t>dcameron@lapresse.ca</t>
        </is>
      </c>
      <c r="G82" s="36" t="inlineStr">
        <is>
          <t>514 285-7000, #4856</t>
        </is>
      </c>
      <c r="H82" s="36" t="inlineStr">
        <is>
          <t>Montréal</t>
        </is>
      </c>
      <c r="I82" s="37" t="inlineStr">
        <is>
          <t>Agriculture; Environnement</t>
        </is>
      </c>
      <c r="J82" s="36" t="n"/>
      <c r="K82" s="42" t="inlineStr">
        <is>
          <t>Ouvrir</t>
        </is>
      </c>
      <c r="L82" s="38" t="inlineStr">
        <is>
          <t>2026-09-16 11:19</t>
        </is>
      </c>
      <c r="M82" s="38" t="n"/>
      <c r="N82" s="39" t="n"/>
      <c r="O82" s="25" t="inlineStr">
        <is>
          <t>C</t>
        </is>
      </c>
      <c r="P82" s="25" t="inlineStr">
        <is>
          <t>L'asclépiade à Dragons' Den le 17 sept!</t>
        </is>
      </c>
      <c r="Q82" s="25" t="inlineStr">
        <is>
          <t>Bonjour Daphné,</t>
        </is>
      </c>
      <c r="S82" s="46" t="inlineStr">
        <is>
          <t>Bonjour Daphné,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3" ht="240" customHeight="1" s="26">
      <c r="A83" s="43" t="inlineStr">
        <is>
          <t>B</t>
        </is>
      </c>
      <c r="B83" s="36" t="inlineStr">
        <is>
          <t>Godefroy Macaire</t>
        </is>
      </c>
      <c r="C83" s="36" t="inlineStr">
        <is>
          <t>Chabi</t>
        </is>
      </c>
      <c r="D83" s="37" t="inlineStr">
        <is>
          <t>Réalisateur-pupitre</t>
        </is>
      </c>
      <c r="E83" s="36" t="inlineStr">
        <is>
          <t>Radio-Canada Winnipeg</t>
        </is>
      </c>
      <c r="F83" s="36" t="inlineStr">
        <is>
          <t>godefroy.chabi@radio-canada.ca</t>
        </is>
      </c>
      <c r="G83" s="36" t="inlineStr">
        <is>
          <t>613 288-6600</t>
        </is>
      </c>
      <c r="H83" s="36" t="inlineStr">
        <is>
          <t>Canada anglais</t>
        </is>
      </c>
      <c r="I83" s="37" t="inlineStr">
        <is>
          <t>Environnement; Sciences</t>
        </is>
      </c>
      <c r="J83" s="36" t="n"/>
      <c r="K83" s="42" t="inlineStr">
        <is>
          <t>Ouvrir</t>
        </is>
      </c>
      <c r="L83" s="38" t="inlineStr">
        <is>
          <t>2026-09-16 11:20</t>
        </is>
      </c>
      <c r="M83" s="38" t="n"/>
      <c r="N83" s="39" t="n"/>
      <c r="O83" s="25" t="inlineStr">
        <is>
          <t>B</t>
        </is>
      </c>
      <c r="P83" s="25" t="inlineStr">
        <is>
          <t>L'asclépiade à Dragons' Den le 17 septembre!</t>
        </is>
      </c>
      <c r="Q83" s="25" t="inlineStr">
        <is>
          <t>Bonjour Godefroy Macaire,</t>
        </is>
      </c>
      <c r="S83" s="46" t="inlineStr">
        <is>
          <t>Bonjour Godefroy Macaire,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4" ht="240" customHeight="1" s="26">
      <c r="A84" s="43" t="inlineStr">
        <is>
          <t>B</t>
        </is>
      </c>
      <c r="B84" s="36" t="inlineStr">
        <is>
          <t>Sara</t>
        </is>
      </c>
      <c r="C84" s="36" t="inlineStr">
        <is>
          <t>Champagne</t>
        </is>
      </c>
      <c r="D84" s="37" t="inlineStr">
        <is>
          <t>Reporter</t>
        </is>
      </c>
      <c r="E84" s="36" t="inlineStr">
        <is>
          <t>La Presse</t>
        </is>
      </c>
      <c r="F84" s="36" t="inlineStr">
        <is>
          <t>schampagne@lapresse.ca</t>
        </is>
      </c>
      <c r="G84" s="36" t="inlineStr">
        <is>
          <t>514 285-7070</t>
        </is>
      </c>
      <c r="H84" s="36" t="inlineStr">
        <is>
          <t>Montréal</t>
        </is>
      </c>
      <c r="I84" s="37" t="inlineStr">
        <is>
          <t>Environnement; Sciences</t>
        </is>
      </c>
      <c r="J84" s="36" t="n"/>
      <c r="K84" s="42" t="inlineStr">
        <is>
          <t>Ouvrir</t>
        </is>
      </c>
      <c r="L84" s="38" t="inlineStr">
        <is>
          <t>2026-09-16 11:20</t>
        </is>
      </c>
      <c r="M84" s="38" t="n"/>
      <c r="N84" s="39" t="n"/>
      <c r="O84" s="25" t="inlineStr">
        <is>
          <t>D</t>
        </is>
      </c>
      <c r="P84" s="25" t="inlineStr">
        <is>
          <t>L'asclépiade et les monarques à Dragons' Den!</t>
        </is>
      </c>
      <c r="Q84" s="25" t="inlineStr">
        <is>
          <t>Bonjour Sara,</t>
        </is>
      </c>
      <c r="S84" s="46" t="inlineStr">
        <is>
          <t>Bonjour Sara,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5" ht="240" customHeight="1" s="26">
      <c r="A85" s="43" t="inlineStr">
        <is>
          <t>B</t>
        </is>
      </c>
      <c r="B85" s="36" t="inlineStr">
        <is>
          <t>Sarah</t>
        </is>
      </c>
      <c r="C85" s="36" t="inlineStr">
        <is>
          <t>Champagne</t>
        </is>
      </c>
      <c r="D85" s="37" t="inlineStr">
        <is>
          <t>Journaliste</t>
        </is>
      </c>
      <c r="E85" s="36" t="inlineStr">
        <is>
          <t>Le Devoir</t>
        </is>
      </c>
      <c r="F85" s="36" t="inlineStr">
        <is>
          <t>schampagne@ledevoir.com</t>
        </is>
      </c>
      <c r="G85" s="36" t="inlineStr">
        <is>
          <t>514 985-3333</t>
        </is>
      </c>
      <c r="H85" s="36" t="inlineStr">
        <is>
          <t>Montréal</t>
        </is>
      </c>
      <c r="I85" s="37" t="inlineStr">
        <is>
          <t>Agriculture; Environnement</t>
        </is>
      </c>
      <c r="J85" s="36" t="n"/>
      <c r="K85" s="42" t="inlineStr">
        <is>
          <t>Ouvrir</t>
        </is>
      </c>
      <c r="L85" s="38" t="inlineStr">
        <is>
          <t>2026-09-16 11:21</t>
        </is>
      </c>
      <c r="M85" s="38" t="n"/>
      <c r="N85" s="39" t="n"/>
      <c r="O85" s="25" t="inlineStr">
        <is>
          <t>C</t>
        </is>
      </c>
      <c r="P85" s="25" t="inlineStr">
        <is>
          <t>L'asclépiade à Dragons' Den le 17 sept!</t>
        </is>
      </c>
      <c r="Q85" s="25" t="inlineStr">
        <is>
          <t>Bonjour Sarah,</t>
        </is>
      </c>
      <c r="S85" s="46" t="inlineStr">
        <is>
          <t>Bonjour Sarah,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6" ht="240" customHeight="1" s="26">
      <c r="A86" s="43" t="inlineStr">
        <is>
          <t>B</t>
        </is>
      </c>
      <c r="B86" s="36" t="inlineStr">
        <is>
          <t>Éric-Pierre</t>
        </is>
      </c>
      <c r="C86" s="36" t="inlineStr">
        <is>
          <t>Champagne</t>
        </is>
      </c>
      <c r="D86" s="37" t="inlineStr">
        <is>
          <t>Reporter</t>
        </is>
      </c>
      <c r="E86" s="36" t="inlineStr">
        <is>
          <t>La Presse</t>
        </is>
      </c>
      <c r="F86" s="36" t="inlineStr">
        <is>
          <t>echampagne@lapresse.ca</t>
        </is>
      </c>
      <c r="G86" s="36" t="inlineStr">
        <is>
          <t>514 285-7070</t>
        </is>
      </c>
      <c r="H86" s="36" t="inlineStr">
        <is>
          <t>Montréal</t>
        </is>
      </c>
      <c r="I86" s="37" t="inlineStr">
        <is>
          <t>Environnement; Sciences</t>
        </is>
      </c>
      <c r="J86" s="36" t="n"/>
      <c r="K86" s="42" t="inlineStr">
        <is>
          <t>Ouvrir</t>
        </is>
      </c>
      <c r="L86" s="38" t="inlineStr">
        <is>
          <t>2026-09-16 11:21</t>
        </is>
      </c>
      <c r="M86" s="38" t="n"/>
      <c r="N86" s="39" t="n"/>
      <c r="O86" s="25" t="inlineStr">
        <is>
          <t>D</t>
        </is>
      </c>
      <c r="P86" s="25" t="inlineStr">
        <is>
          <t>L'asclépiade et les monarques à Dragons' Den!</t>
        </is>
      </c>
      <c r="Q86" s="25" t="inlineStr">
        <is>
          <t>Bonjour Éric-Pierre,</t>
        </is>
      </c>
      <c r="S86" s="46" t="inlineStr">
        <is>
          <t>Bonjour Éric-Pierre,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7" ht="240" customHeight="1" s="26">
      <c r="A87" s="43" t="inlineStr">
        <is>
          <t>B</t>
        </is>
      </c>
      <c r="B87" s="36" t="inlineStr">
        <is>
          <t>Marine</t>
        </is>
      </c>
      <c r="C87" s="36" t="inlineStr">
        <is>
          <t>Corniou</t>
        </is>
      </c>
      <c r="D87" s="37" t="inlineStr">
        <is>
          <t>Rédactrice en chef</t>
        </is>
      </c>
      <c r="E87" s="36" t="inlineStr">
        <is>
          <t>Québec Science</t>
        </is>
      </c>
      <c r="F87" s="36" t="inlineStr">
        <is>
          <t>m.corniou@quebecscience.qc.ca</t>
        </is>
      </c>
      <c r="G87" s="36" t="inlineStr">
        <is>
          <t>514 521-8356, #418</t>
        </is>
      </c>
      <c r="H87" s="36" t="inlineStr">
        <is>
          <t>Montréal</t>
        </is>
      </c>
      <c r="I87" s="37" t="inlineStr">
        <is>
          <t>Environnement; Sciences</t>
        </is>
      </c>
      <c r="J87" s="36" t="n"/>
      <c r="K87" s="42" t="inlineStr">
        <is>
          <t>Ouvrir</t>
        </is>
      </c>
      <c r="L87" s="38" t="inlineStr">
        <is>
          <t>2026-09-16 11:22</t>
        </is>
      </c>
      <c r="M87" s="38" t="n"/>
      <c r="N87" s="39" t="n"/>
      <c r="O87" s="25" t="inlineStr">
        <is>
          <t>D</t>
        </is>
      </c>
      <c r="P87" s="25" t="inlineStr">
        <is>
          <t>L'asclépiade et les monarques à Dragons' Den!</t>
        </is>
      </c>
      <c r="Q87" s="25" t="inlineStr">
        <is>
          <t>Bonjour Marine,</t>
        </is>
      </c>
      <c r="S87" s="46" t="inlineStr">
        <is>
          <t>Bonjour Marine,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8" ht="240" customHeight="1" s="26">
      <c r="A88" s="43" t="inlineStr">
        <is>
          <t>B</t>
        </is>
      </c>
      <c r="B88" s="36" t="inlineStr">
        <is>
          <t>Catherine</t>
        </is>
      </c>
      <c r="C88" s="36" t="inlineStr">
        <is>
          <t>Crépeau</t>
        </is>
      </c>
      <c r="D88" s="37" t="inlineStr">
        <is>
          <t>journaliste</t>
        </is>
      </c>
      <c r="E88" s="36" t="inlineStr">
        <is>
          <t>Protégez-Vous</t>
        </is>
      </c>
      <c r="F88" s="36" t="inlineStr">
        <is>
          <t>ccrepeau@protegez-vous.ca</t>
        </is>
      </c>
      <c r="G88" s="36" t="n"/>
      <c r="H88" s="36" t="inlineStr">
        <is>
          <t>Montréal</t>
        </is>
      </c>
      <c r="I88" s="37" t="inlineStr">
        <is>
          <t>Consommation; Sciences</t>
        </is>
      </c>
      <c r="J88" s="36" t="n"/>
      <c r="K88" s="42" t="inlineStr">
        <is>
          <t>Ouvrir</t>
        </is>
      </c>
      <c r="L88" s="38" t="inlineStr">
        <is>
          <t>2026-09-16 11:22</t>
        </is>
      </c>
      <c r="M88" s="38" t="n"/>
      <c r="N88" s="39" t="n"/>
      <c r="O88" s="25" t="inlineStr">
        <is>
          <t>D</t>
        </is>
      </c>
      <c r="P88" s="25" t="inlineStr">
        <is>
          <t>L'asclépiade et les monarques à Dragons' Den!</t>
        </is>
      </c>
      <c r="Q88" s="25" t="inlineStr">
        <is>
          <t>Bonjour Catherine,</t>
        </is>
      </c>
      <c r="S88" s="46" t="inlineStr">
        <is>
          <t>Bonjour Catherine,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89" ht="240" customHeight="1" s="26">
      <c r="A89" s="43" t="inlineStr">
        <is>
          <t>B</t>
        </is>
      </c>
      <c r="B89" s="36" t="inlineStr">
        <is>
          <t>Laurence</t>
        </is>
      </c>
      <c r="C89" s="36" t="inlineStr">
        <is>
          <t>Dami-Houle</t>
        </is>
      </c>
      <c r="D89" s="37" t="inlineStr">
        <is>
          <t>Journaliste coordoonatrice</t>
        </is>
      </c>
      <c r="E89" s="36" t="inlineStr">
        <is>
          <t>C F I M - 92,7 FM</t>
        </is>
      </c>
      <c r="F89" s="36" t="inlineStr">
        <is>
          <t>laurencedami@cfim.ca</t>
        </is>
      </c>
      <c r="G89" s="36" t="inlineStr">
        <is>
          <t>4189865233</t>
        </is>
      </c>
      <c r="H89" s="36" t="inlineStr">
        <is>
          <t>Est-du-Québec</t>
        </is>
      </c>
      <c r="I89" s="37" t="inlineStr">
        <is>
          <t>Environnement; Sciences</t>
        </is>
      </c>
      <c r="J89" s="36" t="n"/>
      <c r="K89" s="42" t="inlineStr">
        <is>
          <t>Ouvrir</t>
        </is>
      </c>
      <c r="L89" s="38" t="inlineStr">
        <is>
          <t>2026-09-16 11:23</t>
        </is>
      </c>
      <c r="M89" s="38" t="n"/>
      <c r="N89" s="39" t="n"/>
      <c r="O89" s="25" t="inlineStr">
        <is>
          <t>B</t>
        </is>
      </c>
      <c r="P89" s="25" t="inlineStr">
        <is>
          <t>L'asclépiade à Dragons' Den le 17 septembre!</t>
        </is>
      </c>
      <c r="Q89" s="25" t="inlineStr">
        <is>
          <t>Bonjour Laurence,</t>
        </is>
      </c>
      <c r="S89" s="46" t="inlineStr">
        <is>
          <t>Bonjour Laurence,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0" ht="240" customHeight="1" s="26">
      <c r="A90" s="43" t="inlineStr">
        <is>
          <t>B</t>
        </is>
      </c>
      <c r="B90" s="36" t="inlineStr">
        <is>
          <t>Amélie</t>
        </is>
      </c>
      <c r="C90" s="36" t="inlineStr">
        <is>
          <t>Daoust-Boisvert</t>
        </is>
      </c>
      <c r="D90" s="37" t="inlineStr">
        <is>
          <t>Journaliste et professeure</t>
        </is>
      </c>
      <c r="E90" s="36" t="inlineStr">
        <is>
          <t>Pigiste</t>
        </is>
      </c>
      <c r="F90" s="36" t="inlineStr">
        <is>
          <t>amelie.daoust-boisvert@concordia.ca</t>
        </is>
      </c>
      <c r="G90" s="36" t="n"/>
      <c r="H90" s="36" t="inlineStr">
        <is>
          <t>Montérégie</t>
        </is>
      </c>
      <c r="I90" s="37" t="inlineStr">
        <is>
          <t>Environnement; Sciences</t>
        </is>
      </c>
      <c r="J90" s="36" t="n"/>
      <c r="K90" s="42" t="inlineStr">
        <is>
          <t>Ouvrir</t>
        </is>
      </c>
      <c r="L90" s="38" t="inlineStr">
        <is>
          <t>2026-09-16 11:23</t>
        </is>
      </c>
      <c r="M90" s="38" t="n"/>
      <c r="N90" s="39" t="n"/>
      <c r="O90" s="25" t="inlineStr">
        <is>
          <t>D</t>
        </is>
      </c>
      <c r="P90" s="25" t="inlineStr">
        <is>
          <t>L'asclépiade de la Montérégie à Dragons' Den!</t>
        </is>
      </c>
      <c r="Q90" s="25" t="inlineStr">
        <is>
          <t>Bonjour Amélie,</t>
        </is>
      </c>
      <c r="R90" s="25" t="inlineStr">
        <is>
          <t>Adresse personnelle : individualiser vraiment</t>
        </is>
      </c>
      <c r="S90" s="46" t="inlineStr">
        <is>
          <t>Bonjour Amélie,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1" ht="240" customHeight="1" s="26">
      <c r="A91" s="43" t="inlineStr">
        <is>
          <t>B</t>
        </is>
      </c>
      <c r="B91" s="36" t="inlineStr">
        <is>
          <t>Dominique</t>
        </is>
      </c>
      <c r="C91" s="36" t="inlineStr">
        <is>
          <t>Degré</t>
        </is>
      </c>
      <c r="D91" s="37" t="inlineStr">
        <is>
          <t>Journaliste et chef de pupitre</t>
        </is>
      </c>
      <c r="E91" s="36" t="inlineStr">
        <is>
          <t>Radio-Canada</t>
        </is>
      </c>
      <c r="F91" s="36" t="inlineStr">
        <is>
          <t>dominique.degre@radio-canada.ca</t>
        </is>
      </c>
      <c r="G91" s="36" t="n"/>
      <c r="H91" s="36" t="inlineStr">
        <is>
          <t>Montérégie</t>
        </is>
      </c>
      <c r="I91" s="37" t="inlineStr">
        <is>
          <t>Environnement; Sciences</t>
        </is>
      </c>
      <c r="J91" s="36" t="n"/>
      <c r="K91" s="42" t="inlineStr">
        <is>
          <t>Ouvrir</t>
        </is>
      </c>
      <c r="L91" s="38" t="inlineStr">
        <is>
          <t>2026-09-16 11:24</t>
        </is>
      </c>
      <c r="M91" s="38" t="n"/>
      <c r="N91" s="39" t="n"/>
      <c r="O91" s="25" t="inlineStr">
        <is>
          <t>B</t>
        </is>
      </c>
      <c r="P91" s="25" t="inlineStr">
        <is>
          <t>L'asclépiade de la Montérégie à Dragons' Den!</t>
        </is>
      </c>
      <c r="Q91" s="25" t="inlineStr">
        <is>
          <t>Bonjour Dominique,</t>
        </is>
      </c>
      <c r="S91" s="46" t="inlineStr">
        <is>
          <t>Bonjour Dominique,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2" ht="240" customHeight="1" s="26">
      <c r="A92" s="43" t="inlineStr">
        <is>
          <t>B</t>
        </is>
      </c>
      <c r="B92" s="36" t="inlineStr">
        <is>
          <t>Quentin</t>
        </is>
      </c>
      <c r="C92" s="36" t="inlineStr">
        <is>
          <t>Dufranne</t>
        </is>
      </c>
      <c r="D92" s="37" t="inlineStr">
        <is>
          <t>Journaliste</t>
        </is>
      </c>
      <c r="E92" s="36" t="inlineStr">
        <is>
          <t>Pigiste</t>
        </is>
      </c>
      <c r="F92" s="36" t="inlineStr">
        <is>
          <t>quentin.dufranne@gmail.com</t>
        </is>
      </c>
      <c r="G92" s="36" t="inlineStr">
        <is>
          <t>4386302056</t>
        </is>
      </c>
      <c r="H92" s="36" t="inlineStr">
        <is>
          <t>Montréal</t>
        </is>
      </c>
      <c r="I92" s="37" t="inlineStr">
        <is>
          <t>Environnement; Sciences</t>
        </is>
      </c>
      <c r="J92" s="36" t="n"/>
      <c r="K92" s="42" t="inlineStr">
        <is>
          <t>Ouvrir</t>
        </is>
      </c>
      <c r="L92" s="38" t="inlineStr">
        <is>
          <t>2026-09-16 11:24</t>
        </is>
      </c>
      <c r="M92" s="38" t="n"/>
      <c r="N92" s="39" t="n"/>
      <c r="O92" s="25" t="inlineStr">
        <is>
          <t>D</t>
        </is>
      </c>
      <c r="P92" s="25" t="inlineStr">
        <is>
          <t>L'asclépiade et les monarques à Dragons' Den!</t>
        </is>
      </c>
      <c r="Q92" s="25" t="inlineStr">
        <is>
          <t>Bonjour Quentin,</t>
        </is>
      </c>
      <c r="R92" s="25" t="inlineStr">
        <is>
          <t>Adresse personnelle : individualiser vraiment</t>
        </is>
      </c>
      <c r="S92" s="46" t="inlineStr">
        <is>
          <t>Bonjour Quentin,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3" ht="240" customHeight="1" s="26">
      <c r="A93" s="43" t="inlineStr">
        <is>
          <t>B</t>
        </is>
      </c>
      <c r="B93" s="36" t="inlineStr">
        <is>
          <t>Ève</t>
        </is>
      </c>
      <c r="C93" s="36" t="inlineStr">
        <is>
          <t>Dumas</t>
        </is>
      </c>
      <c r="D93" s="37" t="inlineStr">
        <is>
          <t>Reporter</t>
        </is>
      </c>
      <c r="E93" s="36" t="inlineStr">
        <is>
          <t>La Presse</t>
        </is>
      </c>
      <c r="F93" s="36" t="inlineStr">
        <is>
          <t>edumas@lapresse.ca</t>
        </is>
      </c>
      <c r="G93" s="36" t="inlineStr">
        <is>
          <t>514 285-7070</t>
        </is>
      </c>
      <c r="H93" s="36" t="inlineStr">
        <is>
          <t>Montréal</t>
        </is>
      </c>
      <c r="I93" s="37" t="inlineStr">
        <is>
          <t>Agriculture; Art de vivre; Consommation</t>
        </is>
      </c>
      <c r="J93" s="36" t="n"/>
      <c r="K93" s="42" t="inlineStr">
        <is>
          <t>Ouvrir</t>
        </is>
      </c>
      <c r="L93" s="38" t="inlineStr">
        <is>
          <t>2026-09-16 11:25</t>
        </is>
      </c>
      <c r="M93" s="38" t="n"/>
      <c r="N93" s="39" t="n"/>
      <c r="O93" s="25" t="inlineStr">
        <is>
          <t>C</t>
        </is>
      </c>
      <c r="P93" s="25" t="inlineStr">
        <is>
          <t>L'asclépiade à Dragons' Den le 17 sept!</t>
        </is>
      </c>
      <c r="Q93" s="25" t="inlineStr">
        <is>
          <t>Bonjour Ève,</t>
        </is>
      </c>
      <c r="S93" s="46" t="inlineStr">
        <is>
          <t>Bonjour Ève,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4" ht="240" customHeight="1" s="26">
      <c r="A94" s="43" t="inlineStr">
        <is>
          <t>B</t>
        </is>
      </c>
      <c r="B94" s="36" t="inlineStr">
        <is>
          <t>Michel</t>
        </is>
      </c>
      <c r="C94" s="36" t="inlineStr">
        <is>
          <t>Fortier</t>
        </is>
      </c>
      <c r="D94" s="37" t="inlineStr">
        <is>
          <t>Rédacteur en chef</t>
        </is>
      </c>
      <c r="E94" s="36" t="inlineStr">
        <is>
          <t>Journal des Citoyens</t>
        </is>
      </c>
      <c r="F94" s="36" t="inlineStr">
        <is>
          <t>mfortier@edprev.com</t>
        </is>
      </c>
      <c r="G94" s="36" t="inlineStr">
        <is>
          <t>450 602-2794</t>
        </is>
      </c>
      <c r="H94" s="36" t="inlineStr">
        <is>
          <t>Laurentides</t>
        </is>
      </c>
      <c r="I94" s="37" t="inlineStr">
        <is>
          <t>Art de vivre; Environnement; Plein air</t>
        </is>
      </c>
      <c r="J94" s="36" t="n"/>
      <c r="K94" s="42" t="inlineStr">
        <is>
          <t>Ouvrir</t>
        </is>
      </c>
      <c r="L94" s="38" t="inlineStr">
        <is>
          <t>2026-09-16 11:26</t>
        </is>
      </c>
      <c r="M94" s="38" t="n"/>
      <c r="N94" s="39" t="n"/>
      <c r="O94" s="25" t="inlineStr">
        <is>
          <t>B</t>
        </is>
      </c>
      <c r="P94" s="25" t="inlineStr">
        <is>
          <t>L'asclépiade à Dragons' Den le 17 septembre!</t>
        </is>
      </c>
      <c r="Q94" s="25" t="inlineStr">
        <is>
          <t>Bonjour Michel,</t>
        </is>
      </c>
      <c r="S94" s="46" t="inlineStr">
        <is>
          <t>Bonjour Michel,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5" ht="240" customHeight="1" s="26">
      <c r="A95" s="43" t="inlineStr">
        <is>
          <t>B</t>
        </is>
      </c>
      <c r="B95" s="36" t="inlineStr">
        <is>
          <t>Marie-Eve</t>
        </is>
      </c>
      <c r="C95" s="36" t="inlineStr">
        <is>
          <t>Fournier</t>
        </is>
      </c>
      <c r="D95" s="37" t="inlineStr">
        <is>
          <t>Chroniqueuse</t>
        </is>
      </c>
      <c r="E95" s="36" t="inlineStr">
        <is>
          <t>La Presse</t>
        </is>
      </c>
      <c r="F95" s="36" t="inlineStr">
        <is>
          <t>mfournier@lapresse.ca</t>
        </is>
      </c>
      <c r="G95" s="36" t="inlineStr">
        <is>
          <t>514 285-7000, #4912</t>
        </is>
      </c>
      <c r="H95" s="36" t="inlineStr">
        <is>
          <t>Montréal</t>
        </is>
      </c>
      <c r="I95" s="37" t="inlineStr">
        <is>
          <t>Consommation; Économie</t>
        </is>
      </c>
      <c r="J95" s="36" t="n"/>
      <c r="K95" s="42" t="inlineStr">
        <is>
          <t>Ouvrir</t>
        </is>
      </c>
      <c r="L95" s="38" t="inlineStr">
        <is>
          <t>2026-09-16 11:26</t>
        </is>
      </c>
      <c r="M95" s="38" t="n"/>
      <c r="N95" s="39" t="n"/>
      <c r="O95" s="25" t="inlineStr">
        <is>
          <t>E</t>
        </is>
      </c>
      <c r="P95" s="25" t="inlineStr">
        <is>
          <t>L'asclépiade à Dragons' Den le 17 septembre!</t>
        </is>
      </c>
      <c r="Q95" s="25" t="inlineStr">
        <is>
          <t>Bonjour Marie-Eve,</t>
        </is>
      </c>
      <c r="S95" s="46" t="inlineStr">
        <is>
          <t>Bonjour Marie-Eve,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6" ht="240" customHeight="1" s="26">
      <c r="A96" s="43" t="inlineStr">
        <is>
          <t>B</t>
        </is>
      </c>
      <c r="B96" s="36" t="inlineStr">
        <is>
          <t>Raymond</t>
        </is>
      </c>
      <c r="C96" s="36" t="inlineStr">
        <is>
          <t>Fournier</t>
        </is>
      </c>
      <c r="D96" s="37" t="inlineStr">
        <is>
          <t>Journaliste scientifique indépendant</t>
        </is>
      </c>
      <c r="E96" s="36" t="inlineStr">
        <is>
          <t>Agence Science Presse</t>
        </is>
      </c>
      <c r="F96" s="36" t="inlineStr">
        <is>
          <t>cosmos_management@hotmail.com</t>
        </is>
      </c>
      <c r="G96" s="36" t="inlineStr">
        <is>
          <t>15143474854</t>
        </is>
      </c>
      <c r="H96" s="36" t="inlineStr">
        <is>
          <t>Montérégie</t>
        </is>
      </c>
      <c r="I96" s="37" t="inlineStr">
        <is>
          <t>Environnement; Sciences</t>
        </is>
      </c>
      <c r="J96" s="36" t="n"/>
      <c r="K96" s="42" t="inlineStr">
        <is>
          <t>Ouvrir</t>
        </is>
      </c>
      <c r="L96" s="38" t="inlineStr">
        <is>
          <t>2026-09-16 11:27</t>
        </is>
      </c>
      <c r="M96" s="38" t="n"/>
      <c r="N96" s="39" t="n"/>
      <c r="O96" s="25" t="inlineStr">
        <is>
          <t>B</t>
        </is>
      </c>
      <c r="P96" s="25" t="inlineStr">
        <is>
          <t>L'asclépiade de la Montérégie à Dragons' Den!</t>
        </is>
      </c>
      <c r="Q96" s="25" t="inlineStr">
        <is>
          <t>Bonjour Raymond,</t>
        </is>
      </c>
      <c r="R96" s="25" t="inlineStr">
        <is>
          <t>Adresse personnelle : individualiser vraiment</t>
        </is>
      </c>
      <c r="S96" s="46" t="inlineStr">
        <is>
          <t>Bonjour Raymond,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7" ht="240" customHeight="1" s="26">
      <c r="A97" s="43" t="inlineStr">
        <is>
          <t>B</t>
        </is>
      </c>
      <c r="B97" s="36" t="inlineStr">
        <is>
          <t>Marie-Pier</t>
        </is>
      </c>
      <c r="C97" s="36" t="inlineStr">
        <is>
          <t>Frappier</t>
        </is>
      </c>
      <c r="D97" s="37" t="inlineStr">
        <is>
          <t>Directrice de l'information</t>
        </is>
      </c>
      <c r="E97" s="36" t="inlineStr">
        <is>
          <t>Les Affaires</t>
        </is>
      </c>
      <c r="F97" s="36" t="inlineStr">
        <is>
          <t>marie-pier.frappier@groupecontex.ca</t>
        </is>
      </c>
      <c r="G97" s="36" t="inlineStr">
        <is>
          <t>514-569-9448</t>
        </is>
      </c>
      <c r="H97" s="36" t="inlineStr">
        <is>
          <t>Montréal</t>
        </is>
      </c>
      <c r="I97" s="37" t="inlineStr">
        <is>
          <t>Consommation; Économie</t>
        </is>
      </c>
      <c r="J97" s="36" t="n"/>
      <c r="K97" s="42" t="inlineStr">
        <is>
          <t>Ouvrir</t>
        </is>
      </c>
      <c r="L97" s="38" t="inlineStr">
        <is>
          <t>2026-09-16 11:27</t>
        </is>
      </c>
      <c r="M97" s="38" t="n"/>
      <c r="N97" s="39" t="n"/>
      <c r="O97" s="25" t="inlineStr">
        <is>
          <t>E</t>
        </is>
      </c>
      <c r="P97" s="25" t="inlineStr">
        <is>
          <t>L'asclépiade à Dragons' Den le 17 septembre!</t>
        </is>
      </c>
      <c r="Q97" s="25" t="inlineStr">
        <is>
          <t>Bonjour Marie-Pier,</t>
        </is>
      </c>
      <c r="S97" s="46" t="inlineStr">
        <is>
          <t>Bonjour Marie-Pier,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8" ht="240" customHeight="1" s="26">
      <c r="A98" s="43" t="inlineStr">
        <is>
          <t>B</t>
        </is>
      </c>
      <c r="B98" s="36" t="inlineStr">
        <is>
          <t>Marie-Julie</t>
        </is>
      </c>
      <c r="C98" s="36" t="inlineStr">
        <is>
          <t>Gagnon</t>
        </is>
      </c>
      <c r="D98" s="37" t="inlineStr">
        <is>
          <t>Journaliste, chroniqueuse et recherchiste</t>
        </is>
      </c>
      <c r="E98" s="36" t="inlineStr">
        <is>
          <t>Pigiste</t>
        </is>
      </c>
      <c r="F98" s="36" t="inlineStr">
        <is>
          <t>mjtornado@gmail.com</t>
        </is>
      </c>
      <c r="G98" s="36" t="inlineStr">
        <is>
          <t>5145784989</t>
        </is>
      </c>
      <c r="H98" s="36" t="inlineStr">
        <is>
          <t>Montérégie</t>
        </is>
      </c>
      <c r="I98" s="37" t="inlineStr">
        <is>
          <t>Art de vivre; Environnement; Plein air</t>
        </is>
      </c>
      <c r="J98" s="36" t="n"/>
      <c r="K98" s="42" t="inlineStr">
        <is>
          <t>Ouvrir</t>
        </is>
      </c>
      <c r="L98" s="38" t="inlineStr">
        <is>
          <t>2026-09-16 11:28</t>
        </is>
      </c>
      <c r="M98" s="38" t="n"/>
      <c r="N98" s="39" t="n"/>
      <c r="O98" s="25" t="inlineStr">
        <is>
          <t>I</t>
        </is>
      </c>
      <c r="P98" s="25" t="inlineStr">
        <is>
          <t>L'asclépiade de la Montérégie à Dragons' Den!</t>
        </is>
      </c>
      <c r="Q98" s="25" t="inlineStr">
        <is>
          <t>Bonjour Marie-Julie,</t>
        </is>
      </c>
      <c r="R98" s="25" t="inlineStr">
        <is>
          <t>Adresse personnelle : individualiser vraiment</t>
        </is>
      </c>
      <c r="S98" s="46" t="inlineStr">
        <is>
          <t>Bonjour Marie-Julie,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99" ht="240" customHeight="1" s="26">
      <c r="A99" s="43" t="inlineStr">
        <is>
          <t>B</t>
        </is>
      </c>
      <c r="B99" s="36" t="inlineStr">
        <is>
          <t>Chloé</t>
        </is>
      </c>
      <c r="C99" s="36" t="inlineStr">
        <is>
          <t>Germain-Thérien</t>
        </is>
      </c>
      <c r="D99" s="37" t="inlineStr">
        <is>
          <t>Caricaturiste</t>
        </is>
      </c>
      <c r="E99" s="36" t="inlineStr">
        <is>
          <t>Le Devoir</t>
        </is>
      </c>
      <c r="F99" s="36" t="inlineStr">
        <is>
          <t>cgermain@ledevoir.com</t>
        </is>
      </c>
      <c r="G99" s="36" t="inlineStr">
        <is>
          <t>514-462-4463</t>
        </is>
      </c>
      <c r="H99" s="36" t="inlineStr">
        <is>
          <t>Mauricie</t>
        </is>
      </c>
      <c r="I99" s="37" t="inlineStr">
        <is>
          <t>Agriculture; Environnement</t>
        </is>
      </c>
      <c r="J99" s="36" t="n"/>
      <c r="K99" s="42" t="inlineStr">
        <is>
          <t>Ouvrir</t>
        </is>
      </c>
      <c r="L99" s="38" t="inlineStr">
        <is>
          <t>2026-09-16 11:28</t>
        </is>
      </c>
      <c r="M99" s="38" t="n"/>
      <c r="N99" s="39" t="n"/>
      <c r="O99" s="25" t="inlineStr">
        <is>
          <t>C</t>
        </is>
      </c>
      <c r="P99" s="25" t="inlineStr">
        <is>
          <t>L'asclépiade de la Mauricie à Dragons' Den!</t>
        </is>
      </c>
      <c r="Q99" s="25" t="inlineStr">
        <is>
          <t>Bonjour Chloé,</t>
        </is>
      </c>
      <c r="S99" s="46" t="inlineStr">
        <is>
          <t>Bonjour Chloé,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a commencé chez vous, à Saint-Tite et dans Mékinac. Le groupe Protec-Style, qui exploitait l'usine de Saint-Tite sous le nom d'Encore 3, avait réservé 90 % de la récolte québécoise quand il a fait faillite [le 11 octobre 2017](https://ici.radio-canada.ca/nouvelle/1061543/asclepiade-soyer-producteurs-industries-encore3-faillite-monark), emportant Saint-Tite et son atelier de Granby. Les 125 producteurs de la Coopérative Monark ont pris le choc. Six semaines plus tard, [la MRC de Mékinac a fait pencher la relance](https://lenouvelliste.ca/affaires/asclepiade-les-activites-reprennent-a-lusine-de-saint-tite-9a7c0d08d77c81c7ab22fdfc8e47a922).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0" ht="240" customHeight="1" s="26">
      <c r="A100" s="43" t="inlineStr">
        <is>
          <t>B</t>
        </is>
      </c>
      <c r="B100" s="36" t="inlineStr">
        <is>
          <t>Charlotte</t>
        </is>
      </c>
      <c r="C100" s="36" t="inlineStr">
        <is>
          <t>Glorieux</t>
        </is>
      </c>
      <c r="D100" s="37" t="inlineStr">
        <is>
          <t>journaliste pigiste</t>
        </is>
      </c>
      <c r="E100" s="36" t="inlineStr">
        <is>
          <t>Pigiste</t>
        </is>
      </c>
      <c r="F100" s="36" t="inlineStr">
        <is>
          <t>glorieux.charlotte@gmail.com</t>
        </is>
      </c>
      <c r="G100" s="36" t="inlineStr">
        <is>
          <t>4384910850</t>
        </is>
      </c>
      <c r="H100" s="36" t="inlineStr">
        <is>
          <t>Montréal</t>
        </is>
      </c>
      <c r="I100" s="37" t="inlineStr">
        <is>
          <t>Art de vivre; Environnement; Plein air</t>
        </is>
      </c>
      <c r="J100" s="36" t="n"/>
      <c r="K100" s="42" t="inlineStr">
        <is>
          <t>Ouvrir</t>
        </is>
      </c>
      <c r="L100" s="38" t="inlineStr">
        <is>
          <t>2026-09-16 11:29</t>
        </is>
      </c>
      <c r="M100" s="38" t="n"/>
      <c r="N100" s="39" t="n"/>
      <c r="O100" s="25" t="inlineStr">
        <is>
          <t>F</t>
        </is>
      </c>
      <c r="P100" s="25" t="inlineStr">
        <is>
          <t>L'asclépiade à Dragons' Den le 17 sept!</t>
        </is>
      </c>
      <c r="Q100" s="25" t="inlineStr">
        <is>
          <t>Bonjour Charlotte,</t>
        </is>
      </c>
      <c r="R100" s="25" t="inlineStr">
        <is>
          <t>Adresse personnelle : individualiser vraiment</t>
        </is>
      </c>
      <c r="S100" s="46" t="inlineStr">
        <is>
          <t>Bonjour Charlotte,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1" ht="240" customHeight="1" s="26">
      <c r="A101" s="43" t="inlineStr">
        <is>
          <t>B</t>
        </is>
      </c>
      <c r="B101" s="36" t="inlineStr">
        <is>
          <t>Annie</t>
        </is>
      </c>
      <c r="C101" s="36" t="inlineStr">
        <is>
          <t>Hudon</t>
        </is>
      </c>
      <c r="D101" s="37" t="inlineStr">
        <is>
          <t>Journaliste</t>
        </is>
      </c>
      <c r="E101" s="36" t="inlineStr">
        <is>
          <t>Radio-Canada (Montréal)</t>
        </is>
      </c>
      <c r="F101" s="36" t="inlineStr">
        <is>
          <t>annie.hudon-friceau@radio-canada.ca</t>
        </is>
      </c>
      <c r="G101" s="36" t="inlineStr">
        <is>
          <t>514 597-5000</t>
        </is>
      </c>
      <c r="H101" s="36" t="inlineStr">
        <is>
          <t>Montréal</t>
        </is>
      </c>
      <c r="I101" s="37" t="inlineStr">
        <is>
          <t>Consommation; Économie</t>
        </is>
      </c>
      <c r="J101" s="36" t="n"/>
      <c r="K101" s="42" t="inlineStr">
        <is>
          <t>Ouvrir</t>
        </is>
      </c>
      <c r="L101" s="38" t="inlineStr">
        <is>
          <t>2026-09-16 11:29</t>
        </is>
      </c>
      <c r="M101" s="38" t="n"/>
      <c r="N101" s="39" t="n"/>
      <c r="O101" s="25" t="inlineStr">
        <is>
          <t>E</t>
        </is>
      </c>
      <c r="P101" s="25" t="inlineStr">
        <is>
          <t>L'asclépiade à Dragons' Den le 17 septembre!</t>
        </is>
      </c>
      <c r="Q101" s="25" t="inlineStr">
        <is>
          <t>Bonjour Annie,</t>
        </is>
      </c>
      <c r="S101" s="46" t="inlineStr">
        <is>
          <t>Bonjour Annie,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2" ht="240" customHeight="1" s="26">
      <c r="A102" s="43" t="inlineStr">
        <is>
          <t>B</t>
        </is>
      </c>
      <c r="B102" s="36" t="inlineStr">
        <is>
          <t>Ahmed</t>
        </is>
      </c>
      <c r="C102" s="36" t="inlineStr">
        <is>
          <t>Kouaou</t>
        </is>
      </c>
      <c r="D102" s="37" t="inlineStr">
        <is>
          <t>Journaliste</t>
        </is>
      </c>
      <c r="E102" s="36" t="inlineStr">
        <is>
          <t>Radio-Canada (Montréal)</t>
        </is>
      </c>
      <c r="F102" s="36" t="inlineStr">
        <is>
          <t>ahmed.kouaou@radio-canada.ca</t>
        </is>
      </c>
      <c r="G102" s="36" t="inlineStr">
        <is>
          <t>514 597-5057</t>
        </is>
      </c>
      <c r="H102" s="36" t="inlineStr">
        <is>
          <t>Montréal</t>
        </is>
      </c>
      <c r="I102" s="37" t="inlineStr">
        <is>
          <t>Environnement; Économie</t>
        </is>
      </c>
      <c r="J102" s="36" t="n"/>
      <c r="K102" s="42" t="inlineStr">
        <is>
          <t>Ouvrir</t>
        </is>
      </c>
      <c r="L102" s="38" t="inlineStr">
        <is>
          <t>2026-09-16 11:30</t>
        </is>
      </c>
      <c r="M102" s="38" t="n"/>
      <c r="N102" s="39" t="n"/>
      <c r="O102" s="25" t="inlineStr">
        <is>
          <t>D</t>
        </is>
      </c>
      <c r="P102" s="25" t="inlineStr">
        <is>
          <t>L'asclépiade et les monarques à Dragons' Den!</t>
        </is>
      </c>
      <c r="Q102" s="25" t="inlineStr">
        <is>
          <t>Bonjour Ahmed,</t>
        </is>
      </c>
      <c r="S102" s="46" t="inlineStr">
        <is>
          <t>Bonjour Ahmed,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3" ht="240" customHeight="1" s="26">
      <c r="A103" s="43" t="inlineStr">
        <is>
          <t>B</t>
        </is>
      </c>
      <c r="B103" s="36" t="inlineStr">
        <is>
          <t>Tania</t>
        </is>
      </c>
      <c r="C103" s="36" t="inlineStr">
        <is>
          <t>Krywiak</t>
        </is>
      </c>
      <c r="D103" s="37" t="inlineStr">
        <is>
          <t>Managing Editor CTV Montreal and CJAD</t>
        </is>
      </c>
      <c r="E103" s="36" t="inlineStr">
        <is>
          <t>Bell Média</t>
        </is>
      </c>
      <c r="F103" s="36" t="inlineStr">
        <is>
          <t>tania.krywiak@bellmedia.ca</t>
        </is>
      </c>
      <c r="G103" s="36" t="n"/>
      <c r="H103" s="36" t="inlineStr">
        <is>
          <t>Montréal</t>
        </is>
      </c>
      <c r="I103" s="37" t="inlineStr">
        <is>
          <t>Consommation; Sciences</t>
        </is>
      </c>
      <c r="J103" s="36" t="n"/>
      <c r="K103" s="42" t="inlineStr">
        <is>
          <t>Ouvrir</t>
        </is>
      </c>
      <c r="L103" s="38" t="inlineStr">
        <is>
          <t>2026-09-16 11:30</t>
        </is>
      </c>
      <c r="M103" s="38" t="n"/>
      <c r="N103" s="39" t="n"/>
      <c r="O103" s="25" t="inlineStr">
        <is>
          <t>D</t>
        </is>
      </c>
      <c r="P103" s="25" t="inlineStr">
        <is>
          <t>L'asclépiade et les monarques à Dragons' Den!</t>
        </is>
      </c>
      <c r="Q103" s="25" t="inlineStr">
        <is>
          <t>Bonjour Tania,</t>
        </is>
      </c>
      <c r="S103" s="46" t="inlineStr">
        <is>
          <t>Bonjour Tania,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4" ht="240" customHeight="1" s="26">
      <c r="A104" s="43" t="inlineStr">
        <is>
          <t>B</t>
        </is>
      </c>
      <c r="B104" s="36" t="inlineStr">
        <is>
          <t>Jacinthe</t>
        </is>
      </c>
      <c r="C104" s="36" t="inlineStr">
        <is>
          <t>Lafrance</t>
        </is>
      </c>
      <c r="D104" s="37" t="inlineStr">
        <is>
          <t>Journaliste</t>
        </is>
      </c>
      <c r="E104" s="36" t="inlineStr">
        <is>
          <t>Le Nouvelliste</t>
        </is>
      </c>
      <c r="F104" s="36" t="inlineStr">
        <is>
          <t>jlafrance@lenouvelliste.qc.ca</t>
        </is>
      </c>
      <c r="G104" s="36" t="inlineStr">
        <is>
          <t>819 376-2501</t>
        </is>
      </c>
      <c r="H104" s="36" t="inlineStr">
        <is>
          <t>Mauricie</t>
        </is>
      </c>
      <c r="I104" s="37" t="inlineStr">
        <is>
          <t>Consommation; Environnement</t>
        </is>
      </c>
      <c r="J104" s="36" t="n"/>
      <c r="K104" s="42" t="inlineStr">
        <is>
          <t>Ouvrir</t>
        </is>
      </c>
      <c r="L104" s="38" t="inlineStr">
        <is>
          <t>2026-09-16 11:31</t>
        </is>
      </c>
      <c r="M104" s="38" t="n"/>
      <c r="N104" s="39" t="n"/>
      <c r="O104" s="25" t="inlineStr">
        <is>
          <t>B</t>
        </is>
      </c>
      <c r="P104" s="25" t="inlineStr">
        <is>
          <t>L'asclépiade de la Mauricie à Dragons' Den!</t>
        </is>
      </c>
      <c r="Q104" s="25" t="inlineStr">
        <is>
          <t>Bonjour Jacinthe,</t>
        </is>
      </c>
      <c r="S104" s="46" t="inlineStr">
        <is>
          <t>Bonjour Jacinthe,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a commencé chez vous, à Saint-Tite et dans Mékinac. Le groupe Protec-Style, qui exploitait l'usine de Saint-Tite sous le nom d'Encore 3, avait réservé 90 % de la récolte québécoise quand il a fait faillite [le 11 octobre 2017](https://ici.radio-canada.ca/nouvelle/1061543/asclepiade-soyer-producteurs-industries-encore3-faillite-monark), emportant Saint-Tite et son atelier de Granby. Les 125 producteurs de la Coopérative Monark ont pris le choc. Six semaines plus tard, [la MRC de Mékinac a fait pencher la relance](https://lenouvelliste.ca/affaires/asclepiade-les-activites-reprennent-a-lusine-de-saint-tite-9a7c0d08d77c81c7ab22fdfc8e47a922).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5" ht="240" customHeight="1" s="26">
      <c r="A105" s="43" t="inlineStr">
        <is>
          <t>B</t>
        </is>
      </c>
      <c r="B105" s="36" t="inlineStr">
        <is>
          <t>Bruno</t>
        </is>
      </c>
      <c r="C105" s="36" t="inlineStr">
        <is>
          <t>Lamolet</t>
        </is>
      </c>
      <c r="D105" s="37" t="inlineStr">
        <is>
          <t>Journaliste et rédacteur en chef adjoint</t>
        </is>
      </c>
      <c r="E105" s="36" t="inlineStr">
        <is>
          <t>Québec Science</t>
        </is>
      </c>
      <c r="F105" s="36" t="inlineStr">
        <is>
          <t>blamolet@quebecscience.qc.ca</t>
        </is>
      </c>
      <c r="G105" s="36" t="inlineStr">
        <is>
          <t>514 429 1314</t>
        </is>
      </c>
      <c r="H105" s="36" t="inlineStr">
        <is>
          <t>Montérégie</t>
        </is>
      </c>
      <c r="I105" s="37" t="inlineStr">
        <is>
          <t>Plein air; Sciences</t>
        </is>
      </c>
      <c r="J105" s="36" t="n"/>
      <c r="K105" s="42" t="inlineStr">
        <is>
          <t>Ouvrir</t>
        </is>
      </c>
      <c r="L105" s="38" t="inlineStr">
        <is>
          <t>2026-09-16 11:31</t>
        </is>
      </c>
      <c r="M105" s="38" t="n"/>
      <c r="N105" s="39" t="n"/>
      <c r="O105" s="25" t="inlineStr">
        <is>
          <t>F</t>
        </is>
      </c>
      <c r="P105" s="25" t="inlineStr">
        <is>
          <t>L'asclépiade de la Montérégie à Dragons' Den!</t>
        </is>
      </c>
      <c r="Q105" s="25" t="inlineStr">
        <is>
          <t>Bonjour Bruno,</t>
        </is>
      </c>
      <c r="S105" s="46" t="inlineStr">
        <is>
          <t>Bonjour Bruno,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6" ht="240" customHeight="1" s="26">
      <c r="A106" s="43" t="inlineStr">
        <is>
          <t>B</t>
        </is>
      </c>
      <c r="B106" s="36" t="inlineStr">
        <is>
          <t>Yvan</t>
        </is>
      </c>
      <c r="C106" s="36" t="inlineStr">
        <is>
          <t>Lamontagne</t>
        </is>
      </c>
      <c r="D106" s="37" t="inlineStr">
        <is>
          <t>Journaliste - reporter</t>
        </is>
      </c>
      <c r="E106" s="36" t="inlineStr">
        <is>
          <t>Radio-Canada (Montréal)</t>
        </is>
      </c>
      <c r="F106" s="36" t="inlineStr">
        <is>
          <t>yvan.lamontagne@radio-canada.ca</t>
        </is>
      </c>
      <c r="G106" s="36" t="inlineStr">
        <is>
          <t>514 597-3538</t>
        </is>
      </c>
      <c r="H106" s="36" t="inlineStr">
        <is>
          <t>Estrie</t>
        </is>
      </c>
      <c r="I106" s="37" t="inlineStr">
        <is>
          <t>Consommation; Économie</t>
        </is>
      </c>
      <c r="J106" s="36" t="n"/>
      <c r="K106" s="42" t="inlineStr">
        <is>
          <t>Ouvrir</t>
        </is>
      </c>
      <c r="L106" s="38" t="inlineStr">
        <is>
          <t>2026-09-16 11:32</t>
        </is>
      </c>
      <c r="M106" s="38" t="n"/>
      <c r="N106" s="39" t="n"/>
      <c r="O106" s="25" t="inlineStr">
        <is>
          <t>E</t>
        </is>
      </c>
      <c r="P106" s="25" t="inlineStr">
        <is>
          <t>L'asclépiade de l'Estrie à Dragons' Den!</t>
        </is>
      </c>
      <c r="Q106" s="25" t="inlineStr">
        <is>
          <t>Bonjour Yvan,</t>
        </is>
      </c>
      <c r="S106" s="46" t="inlineStr">
        <is>
          <t>Bonjour Yvan,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7" ht="240" customHeight="1" s="26">
      <c r="A107" s="43" t="inlineStr">
        <is>
          <t>B</t>
        </is>
      </c>
      <c r="B107" s="36" t="inlineStr">
        <is>
          <t>Yves</t>
        </is>
      </c>
      <c r="C107" s="36" t="inlineStr">
        <is>
          <t>Langlois</t>
        </is>
      </c>
      <c r="D107" s="37" t="inlineStr">
        <is>
          <t>Journaliste - réalisateur</t>
        </is>
      </c>
      <c r="E107" s="36" t="inlineStr">
        <is>
          <t>Pigiste</t>
        </is>
      </c>
      <c r="F107" s="36" t="inlineStr">
        <is>
          <t>yves@lany.ca</t>
        </is>
      </c>
      <c r="G107" s="36" t="inlineStr">
        <is>
          <t>514-928-3209</t>
        </is>
      </c>
      <c r="H107" s="36" t="inlineStr">
        <is>
          <t>Estrie</t>
        </is>
      </c>
      <c r="I107" s="37" t="inlineStr">
        <is>
          <t>Art de vivre; Environnement; Plein air</t>
        </is>
      </c>
      <c r="J107" s="36" t="n"/>
      <c r="K107" s="42" t="inlineStr">
        <is>
          <t>Ouvrir</t>
        </is>
      </c>
      <c r="L107" s="38" t="inlineStr">
        <is>
          <t>2026-09-16 11:32</t>
        </is>
      </c>
      <c r="M107" s="38" t="n"/>
      <c r="N107" s="39" t="n"/>
      <c r="O107" s="25" t="inlineStr">
        <is>
          <t>F</t>
        </is>
      </c>
      <c r="P107" s="25" t="inlineStr">
        <is>
          <t>L'asclépiade de l'Estrie à Dragons' Den!</t>
        </is>
      </c>
      <c r="Q107" s="25" t="inlineStr">
        <is>
          <t>Bonjour Yves,</t>
        </is>
      </c>
      <c r="R107" s="25" t="inlineStr">
        <is>
          <t>Adresse personnelle : individualiser vraiment</t>
        </is>
      </c>
      <c r="S107" s="46" t="inlineStr">
        <is>
          <t>Bonjour Yves,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8" ht="240" customHeight="1" s="26">
      <c r="A108" s="43" t="inlineStr">
        <is>
          <t>B</t>
        </is>
      </c>
      <c r="B108" s="36" t="inlineStr">
        <is>
          <t>Anne Marie</t>
        </is>
      </c>
      <c r="C108" s="36" t="inlineStr">
        <is>
          <t>Lecomte</t>
        </is>
      </c>
      <c r="D108" s="37" t="inlineStr">
        <is>
          <t>Journaliste</t>
        </is>
      </c>
      <c r="E108" s="36" t="inlineStr">
        <is>
          <t>Radio-Canada (Montréal)</t>
        </is>
      </c>
      <c r="F108" s="36" t="inlineStr">
        <is>
          <t>anne-marie.lecomte@radio-canada.ca</t>
        </is>
      </c>
      <c r="G108" s="36" t="inlineStr">
        <is>
          <t>514 597-7695</t>
        </is>
      </c>
      <c r="H108" s="36" t="inlineStr">
        <is>
          <t>Montréal</t>
        </is>
      </c>
      <c r="I108" s="37" t="inlineStr">
        <is>
          <t>Consommation; Économie</t>
        </is>
      </c>
      <c r="J108" s="36" t="n"/>
      <c r="K108" s="42" t="inlineStr">
        <is>
          <t>Ouvrir</t>
        </is>
      </c>
      <c r="L108" s="38" t="inlineStr">
        <is>
          <t>2026-09-16 11:33</t>
        </is>
      </c>
      <c r="M108" s="38" t="n"/>
      <c r="N108" s="39" t="n"/>
      <c r="O108" s="25" t="inlineStr">
        <is>
          <t>E</t>
        </is>
      </c>
      <c r="P108" s="25" t="inlineStr">
        <is>
          <t>L'asclépiade à Dragons' Den le 17 septembre!</t>
        </is>
      </c>
      <c r="Q108" s="25" t="inlineStr">
        <is>
          <t>Bonjour Anne Marie,</t>
        </is>
      </c>
      <c r="S108" s="46" t="inlineStr">
        <is>
          <t>Bonjour Anne Marie,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09" ht="240" customHeight="1" s="26">
      <c r="A109" s="43" t="inlineStr">
        <is>
          <t>B</t>
        </is>
      </c>
      <c r="B109" s="36" t="inlineStr">
        <is>
          <t>Stéphanie</t>
        </is>
      </c>
      <c r="C109" s="36" t="inlineStr">
        <is>
          <t>Mac Farlane</t>
        </is>
      </c>
      <c r="D109" s="37" t="inlineStr">
        <is>
          <t>Rédactrice en chef</t>
        </is>
      </c>
      <c r="E109" s="36" t="inlineStr">
        <is>
          <t>Le Canada Français</t>
        </is>
      </c>
      <c r="F109" s="36" t="inlineStr">
        <is>
          <t>smacfarlane@canadafrancais.com</t>
        </is>
      </c>
      <c r="G109" s="36" t="inlineStr">
        <is>
          <t>450 347-0323 *2213</t>
        </is>
      </c>
      <c r="H109" s="36" t="inlineStr">
        <is>
          <t>Montérégie</t>
        </is>
      </c>
      <c r="I109" s="37" t="inlineStr">
        <is>
          <t>Consommation; Économie</t>
        </is>
      </c>
      <c r="J109" s="36" t="n"/>
      <c r="K109" s="42" t="inlineStr">
        <is>
          <t>Ouvrir</t>
        </is>
      </c>
      <c r="L109" s="38" t="inlineStr">
        <is>
          <t>2026-09-16 11:33</t>
        </is>
      </c>
      <c r="M109" s="38" t="n"/>
      <c r="N109" s="39" t="n"/>
      <c r="O109" s="25" t="inlineStr">
        <is>
          <t>B</t>
        </is>
      </c>
      <c r="P109" s="25" t="inlineStr">
        <is>
          <t>L'asclépiade de la Montérégie à Dragons' Den!</t>
        </is>
      </c>
      <c r="Q109" s="25" t="inlineStr">
        <is>
          <t>Bonjour Stéphanie,</t>
        </is>
      </c>
      <c r="S109" s="46" t="inlineStr">
        <is>
          <t>Bonjour Stéphanie,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0" ht="240" customHeight="1" s="26">
      <c r="A110" s="43" t="inlineStr">
        <is>
          <t>B</t>
        </is>
      </c>
      <c r="B110" s="36" t="inlineStr">
        <is>
          <t>Philippe</t>
        </is>
      </c>
      <c r="C110" s="36" t="inlineStr">
        <is>
          <t>Marois</t>
        </is>
      </c>
      <c r="D110" s="37" t="inlineStr">
        <is>
          <t>Journaliste - Réalisateur</t>
        </is>
      </c>
      <c r="E110" s="36" t="inlineStr">
        <is>
          <t>Radio-Canada (Radio - Montréal)</t>
        </is>
      </c>
      <c r="F110" s="36" t="inlineStr">
        <is>
          <t>phil.marois@gmail.com</t>
        </is>
      </c>
      <c r="G110" s="36" t="inlineStr">
        <is>
          <t>514-945-3600</t>
        </is>
      </c>
      <c r="H110" s="36" t="inlineStr">
        <is>
          <t>Montérégie</t>
        </is>
      </c>
      <c r="I110" s="37" t="inlineStr">
        <is>
          <t>Environnement; Sciences</t>
        </is>
      </c>
      <c r="J110" s="36" t="n"/>
      <c r="K110" s="42" t="inlineStr">
        <is>
          <t>Ouvrir</t>
        </is>
      </c>
      <c r="L110" s="38" t="inlineStr">
        <is>
          <t>2026-09-16 11:34</t>
        </is>
      </c>
      <c r="M110" s="38" t="n"/>
      <c r="N110" s="39" t="n"/>
      <c r="O110" s="25" t="inlineStr">
        <is>
          <t>I</t>
        </is>
      </c>
      <c r="P110" s="25" t="inlineStr">
        <is>
          <t>L'asclépiade de la Montérégie à Dragons' Den!</t>
        </is>
      </c>
      <c r="Q110" s="25" t="inlineStr">
        <is>
          <t>Bonjour Philippe,</t>
        </is>
      </c>
      <c r="R110" s="25" t="inlineStr">
        <is>
          <t>Adresse personnelle : individualiser vraiment</t>
        </is>
      </c>
      <c r="S110" s="46" t="inlineStr">
        <is>
          <t>Bonjour Philippe,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1" ht="240" customHeight="1" s="26">
      <c r="A111" s="43" t="inlineStr">
        <is>
          <t>B</t>
        </is>
      </c>
      <c r="B111" s="36" t="inlineStr">
        <is>
          <t>Gildas</t>
        </is>
      </c>
      <c r="C111" s="36" t="inlineStr">
        <is>
          <t>Meneu</t>
        </is>
      </c>
      <c r="D111" s="37" t="inlineStr">
        <is>
          <t>Journaliste à la recherche</t>
        </is>
      </c>
      <c r="E111" s="36" t="inlineStr">
        <is>
          <t>Radio-Canada (Montréal)</t>
        </is>
      </c>
      <c r="F111" s="36" t="inlineStr">
        <is>
          <t>gildas.meneu@radio-canada.ca</t>
        </is>
      </c>
      <c r="G111" s="36" t="inlineStr">
        <is>
          <t>514 597-4979</t>
        </is>
      </c>
      <c r="H111" s="36" t="inlineStr">
        <is>
          <t>Montréal</t>
        </is>
      </c>
      <c r="I111" s="37" t="inlineStr">
        <is>
          <t>Agriculture; Art de vivre; Consommation</t>
        </is>
      </c>
      <c r="J111" s="36" t="n"/>
      <c r="K111" s="42" t="inlineStr">
        <is>
          <t>Ouvrir</t>
        </is>
      </c>
      <c r="L111" s="38" t="inlineStr">
        <is>
          <t>2026-09-16 11:34</t>
        </is>
      </c>
      <c r="M111" s="38" t="n"/>
      <c r="N111" s="39" t="n"/>
      <c r="O111" s="25" t="inlineStr">
        <is>
          <t>C</t>
        </is>
      </c>
      <c r="P111" s="25" t="inlineStr">
        <is>
          <t>L'asclépiade à Dragons' Den le 17 sept!</t>
        </is>
      </c>
      <c r="Q111" s="25" t="inlineStr">
        <is>
          <t>Bonjour Gildas,</t>
        </is>
      </c>
      <c r="S111" s="46" t="inlineStr">
        <is>
          <t>Bonjour Gildas,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2" ht="240" customHeight="1" s="26">
      <c r="A112" s="43" t="inlineStr">
        <is>
          <t>B</t>
        </is>
      </c>
      <c r="B112" s="36" t="inlineStr">
        <is>
          <t>Louis-Xavier</t>
        </is>
      </c>
      <c r="C112" s="36" t="inlineStr">
        <is>
          <t>Michaud</t>
        </is>
      </c>
      <c r="D112" s="37" t="inlineStr">
        <is>
          <t>Journaliste au pupitre</t>
        </is>
      </c>
      <c r="E112" s="36" t="inlineStr">
        <is>
          <t>TopoLocal</t>
        </is>
      </c>
      <c r="F112" s="36" t="inlineStr">
        <is>
          <t>lxm@topolocal.ca</t>
        </is>
      </c>
      <c r="G112" s="36" t="inlineStr">
        <is>
          <t>514 285-7000</t>
        </is>
      </c>
      <c r="H112" s="36" t="inlineStr">
        <is>
          <t>Laurentides</t>
        </is>
      </c>
      <c r="I112" s="37" t="inlineStr">
        <is>
          <t>Environnement; Sciences</t>
        </is>
      </c>
      <c r="J112" s="36" t="n"/>
      <c r="K112" s="42" t="inlineStr">
        <is>
          <t>Ouvrir</t>
        </is>
      </c>
      <c r="L112" s="38" t="inlineStr">
        <is>
          <t>2026-09-16 11:35</t>
        </is>
      </c>
      <c r="M112" s="38" t="n"/>
      <c r="N112" s="39" t="n"/>
      <c r="O112" s="25" t="inlineStr">
        <is>
          <t>B</t>
        </is>
      </c>
      <c r="P112" s="25" t="inlineStr">
        <is>
          <t>L'asclépiade à Dragons' Den le 17 septembre!</t>
        </is>
      </c>
      <c r="Q112" s="25" t="inlineStr">
        <is>
          <t>Bonjour Louis-Xavier,</t>
        </is>
      </c>
      <c r="S112" s="46" t="inlineStr">
        <is>
          <t>Bonjour Louis-Xavier,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3" ht="240" customHeight="1" s="26">
      <c r="A113" s="43" t="inlineStr">
        <is>
          <t>B</t>
        </is>
      </c>
      <c r="B113" s="36" t="inlineStr">
        <is>
          <t>Anne</t>
        </is>
      </c>
      <c r="C113" s="36" t="inlineStr">
        <is>
          <t>Montplaisir</t>
        </is>
      </c>
      <c r="D113" s="37" t="inlineStr">
        <is>
          <t>Journaliste et édimestre</t>
        </is>
      </c>
      <c r="E113" s="36" t="inlineStr">
        <is>
          <t>Pigiste</t>
        </is>
      </c>
      <c r="F113" s="36" t="inlineStr">
        <is>
          <t>anne.montplaisir@radio-canada.ca</t>
        </is>
      </c>
      <c r="G113" s="36" t="n"/>
      <c r="H113" s="36" t="inlineStr">
        <is>
          <t>Montréal</t>
        </is>
      </c>
      <c r="I113" s="37" t="inlineStr">
        <is>
          <t>Environnement; Plein air</t>
        </is>
      </c>
      <c r="J113" s="36" t="n"/>
      <c r="K113" s="42" t="inlineStr">
        <is>
          <t>Ouvrir</t>
        </is>
      </c>
      <c r="L113" s="38" t="inlineStr">
        <is>
          <t>2026-09-16 11:35</t>
        </is>
      </c>
      <c r="M113" s="38" t="n"/>
      <c r="N113" s="39" t="n"/>
      <c r="O113" s="25" t="inlineStr">
        <is>
          <t>F</t>
        </is>
      </c>
      <c r="P113" s="25" t="inlineStr">
        <is>
          <t>L'asclépiade à Dragons' Den le 17 sept!</t>
        </is>
      </c>
      <c r="Q113" s="25" t="inlineStr">
        <is>
          <t>Bonjour Anne,</t>
        </is>
      </c>
      <c r="R113" s="25" t="inlineStr">
        <is>
          <t>Adresse personnelle : individualiser vraiment</t>
        </is>
      </c>
      <c r="S113" s="46" t="inlineStr">
        <is>
          <t>Bonjour Anne,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4" ht="240" customHeight="1" s="26">
      <c r="A114" s="43" t="inlineStr">
        <is>
          <t>B</t>
        </is>
      </c>
      <c r="B114" s="36" t="inlineStr">
        <is>
          <t>Karianne</t>
        </is>
      </c>
      <c r="C114" s="36" t="inlineStr">
        <is>
          <t>Nepton-Philippe</t>
        </is>
      </c>
      <c r="D114" s="37" t="inlineStr">
        <is>
          <t>Journaliste</t>
        </is>
      </c>
      <c r="E114" s="36" t="inlineStr">
        <is>
          <t>Journal Le Manic</t>
        </is>
      </c>
      <c r="F114" s="36" t="inlineStr">
        <is>
          <t>knphilippe@lemanic.ca</t>
        </is>
      </c>
      <c r="G114" s="36" t="inlineStr">
        <is>
          <t>4182827049</t>
        </is>
      </c>
      <c r="H114" s="36" t="inlineStr">
        <is>
          <t>Est-du-Québec</t>
        </is>
      </c>
      <c r="I114" s="37" t="inlineStr">
        <is>
          <t>Environnement; Économie</t>
        </is>
      </c>
      <c r="J114" s="36" t="n"/>
      <c r="K114" s="42" t="inlineStr">
        <is>
          <t>Ouvrir</t>
        </is>
      </c>
      <c r="L114" s="38" t="inlineStr">
        <is>
          <t>2026-09-16 11:36</t>
        </is>
      </c>
      <c r="M114" s="38" t="n"/>
      <c r="N114" s="39" t="n"/>
      <c r="O114" s="25" t="inlineStr">
        <is>
          <t>B</t>
        </is>
      </c>
      <c r="P114" s="25" t="inlineStr">
        <is>
          <t>L'asclépiade à Dragons' Den le 17 septembre!</t>
        </is>
      </c>
      <c r="Q114" s="25" t="inlineStr">
        <is>
          <t>Bonjour Karianne,</t>
        </is>
      </c>
      <c r="S114" s="46" t="inlineStr">
        <is>
          <t>Bonjour Karianne,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5" ht="240" customHeight="1" s="26">
      <c r="A115" s="43" t="inlineStr">
        <is>
          <t>B</t>
        </is>
      </c>
      <c r="B115" s="36" t="inlineStr">
        <is>
          <t>Geneviève</t>
        </is>
      </c>
      <c r="C115" s="36" t="inlineStr">
        <is>
          <t>Normand</t>
        </is>
      </c>
      <c r="D115" s="37" t="inlineStr">
        <is>
          <t>Journaliste</t>
        </is>
      </c>
      <c r="E115" s="36" t="inlineStr">
        <is>
          <t>Agence France Presse</t>
        </is>
      </c>
      <c r="F115" s="36" t="inlineStr">
        <is>
          <t>genevieve.normand@afp.com</t>
        </is>
      </c>
      <c r="G115" s="36" t="inlineStr">
        <is>
          <t>5149788562</t>
        </is>
      </c>
      <c r="H115" s="36" t="inlineStr">
        <is>
          <t>Montérégie</t>
        </is>
      </c>
      <c r="I115" s="37" t="inlineStr">
        <is>
          <t>Environnement; Économie</t>
        </is>
      </c>
      <c r="J115" s="36" t="n"/>
      <c r="K115" s="42" t="inlineStr">
        <is>
          <t>Ouvrir</t>
        </is>
      </c>
      <c r="L115" s="38" t="inlineStr">
        <is>
          <t>2026-09-16 11:36</t>
        </is>
      </c>
      <c r="M115" s="38" t="n"/>
      <c r="N115" s="39" t="n"/>
      <c r="O115" s="25" t="inlineStr">
        <is>
          <t>B</t>
        </is>
      </c>
      <c r="P115" s="25" t="inlineStr">
        <is>
          <t>L'asclépiade de la Montérégie à Dragons' Den!</t>
        </is>
      </c>
      <c r="Q115" s="25" t="inlineStr">
        <is>
          <t>Bonjour Geneviève,</t>
        </is>
      </c>
      <c r="S115" s="46" t="inlineStr">
        <is>
          <t>Bonjour Geneviève,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6" ht="240" customHeight="1" s="26">
      <c r="A116" s="43" t="inlineStr">
        <is>
          <t>B</t>
        </is>
      </c>
      <c r="B116" s="36" t="inlineStr">
        <is>
          <t>Carole</t>
        </is>
      </c>
      <c r="C116" s="36" t="inlineStr">
        <is>
          <t>Payer</t>
        </is>
      </c>
      <c r="D116" s="37" t="inlineStr">
        <is>
          <t>journaliste, chroniqueure, redactrice, recherchiste</t>
        </is>
      </c>
      <c r="E116" s="36" t="inlineStr">
        <is>
          <t>Pigiste</t>
        </is>
      </c>
      <c r="F116" s="36" t="inlineStr">
        <is>
          <t>universcp@gmail.com</t>
        </is>
      </c>
      <c r="G116" s="36" t="inlineStr">
        <is>
          <t>4186638589</t>
        </is>
      </c>
      <c r="H116" s="36" t="inlineStr">
        <is>
          <t>Centre-du-Québec</t>
        </is>
      </c>
      <c r="I116" s="37" t="inlineStr">
        <is>
          <t>Art de vivre; Consommation; Sciences</t>
        </is>
      </c>
      <c r="J116" s="36" t="n"/>
      <c r="K116" s="42" t="inlineStr">
        <is>
          <t>Ouvrir</t>
        </is>
      </c>
      <c r="L116" s="38" t="inlineStr">
        <is>
          <t>2026-09-16 11:37</t>
        </is>
      </c>
      <c r="M116" s="38" t="n"/>
      <c r="N116" s="39" t="n"/>
      <c r="O116" s="25" t="inlineStr">
        <is>
          <t>I</t>
        </is>
      </c>
      <c r="P116" s="25" t="inlineStr">
        <is>
          <t>L'asclépiade du Centre-du-Québec à Dragons' Den!</t>
        </is>
      </c>
      <c r="Q116" s="25" t="inlineStr">
        <is>
          <t>Bonjour Carole,</t>
        </is>
      </c>
      <c r="R116" s="25" t="inlineStr">
        <is>
          <t>Adresse personnelle : individualiser vraiment</t>
        </is>
      </c>
      <c r="S116" s="46" t="inlineStr">
        <is>
          <t>Bonjour Carole,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se cultive chez vous depuis la première vague de 2013, celle de la Coopérative Monark et de ses 125 producteurs. Plusieurs de ceux qui ont tenu bon après [la faillite d'octobre 2017](https://ici.radio-canada.ca/nouvelle/1061543/asclepiade-soyer-producteurs-industries-encore3-faillite-monark)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7" ht="240" customHeight="1" s="26">
      <c r="A117" s="43" t="inlineStr">
        <is>
          <t>B</t>
        </is>
      </c>
      <c r="B117" s="36" t="inlineStr">
        <is>
          <t>Boris</t>
        </is>
      </c>
      <c r="C117" s="36" t="inlineStr">
        <is>
          <t>Proulx</t>
        </is>
      </c>
      <c r="D117" s="37" t="inlineStr">
        <is>
          <t>Correspondant parlementaire à Ottawa</t>
        </is>
      </c>
      <c r="E117" s="36" t="inlineStr">
        <is>
          <t>Le Devoir</t>
        </is>
      </c>
      <c r="F117" s="36" t="inlineStr">
        <is>
          <t>bproulx@ledevoir.com</t>
        </is>
      </c>
      <c r="G117" s="36" t="inlineStr">
        <is>
          <t>514 985-3416</t>
        </is>
      </c>
      <c r="H117" s="36" t="inlineStr">
        <is>
          <t>Ontario</t>
        </is>
      </c>
      <c r="I117" s="37" t="inlineStr">
        <is>
          <t>Environnement; Économie</t>
        </is>
      </c>
      <c r="J117" s="36" t="n"/>
      <c r="K117" s="42" t="inlineStr">
        <is>
          <t>Ouvrir</t>
        </is>
      </c>
      <c r="L117" s="38" t="inlineStr">
        <is>
          <t>2026-09-16 11:37</t>
        </is>
      </c>
      <c r="M117" s="38" t="n"/>
      <c r="N117" s="39" t="n"/>
      <c r="O117" s="25" t="inlineStr">
        <is>
          <t>D</t>
        </is>
      </c>
      <c r="P117" s="25" t="inlineStr">
        <is>
          <t>L'asclépiade et les monarques à Dragons' Den!</t>
        </is>
      </c>
      <c r="Q117" s="25" t="inlineStr">
        <is>
          <t>Bonjour Boris,</t>
        </is>
      </c>
      <c r="S117" s="46" t="inlineStr">
        <is>
          <t>Bonjour Boris,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8" ht="240" customHeight="1" s="26">
      <c r="A118" s="43" t="inlineStr">
        <is>
          <t>B</t>
        </is>
      </c>
      <c r="B118" s="36" t="inlineStr">
        <is>
          <t>Philippe</t>
        </is>
      </c>
      <c r="C118" s="36" t="inlineStr">
        <is>
          <t>Robitaille-Grou</t>
        </is>
      </c>
      <c r="D118" s="37" t="inlineStr">
        <is>
          <t>Journaliste</t>
        </is>
      </c>
      <c r="E118" s="36" t="inlineStr">
        <is>
          <t>Radio-Canada</t>
        </is>
      </c>
      <c r="F118" s="36" t="inlineStr">
        <is>
          <t>philippe.robitaille-grou@radio-canada.ca</t>
        </is>
      </c>
      <c r="G118" s="36" t="n"/>
      <c r="H118" s="36" t="inlineStr">
        <is>
          <t>Montréal</t>
        </is>
      </c>
      <c r="I118" s="37" t="inlineStr">
        <is>
          <t>Environnement; Sciences</t>
        </is>
      </c>
      <c r="J118" s="36" t="n"/>
      <c r="K118" s="42" t="inlineStr">
        <is>
          <t>Ouvrir</t>
        </is>
      </c>
      <c r="L118" s="38" t="inlineStr">
        <is>
          <t>2026-09-16 11:38</t>
        </is>
      </c>
      <c r="M118" s="38" t="n"/>
      <c r="N118" s="39" t="n"/>
      <c r="O118" s="25" t="inlineStr">
        <is>
          <t>D</t>
        </is>
      </c>
      <c r="P118" s="25" t="inlineStr">
        <is>
          <t>L'asclépiade et les monarques à Dragons' Den!</t>
        </is>
      </c>
      <c r="Q118" s="25" t="inlineStr">
        <is>
          <t>Bonjour Philippe,</t>
        </is>
      </c>
      <c r="S118" s="46" t="inlineStr">
        <is>
          <t>Bonjour Philippe,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19" ht="240" customHeight="1" s="26">
      <c r="A119" s="43" t="inlineStr">
        <is>
          <t>B</t>
        </is>
      </c>
      <c r="B119" s="36" t="inlineStr">
        <is>
          <t>Gwen</t>
        </is>
      </c>
      <c r="C119" s="36" t="inlineStr">
        <is>
          <t>Roley</t>
        </is>
      </c>
      <c r="D119" s="37" t="inlineStr">
        <is>
          <t>Journaliste</t>
        </is>
      </c>
      <c r="E119" s="36" t="inlineStr">
        <is>
          <t>Agence France Presse</t>
        </is>
      </c>
      <c r="F119" s="36" t="inlineStr">
        <is>
          <t>gwen.roley@afp.com</t>
        </is>
      </c>
      <c r="G119" s="36" t="n"/>
      <c r="H119" s="36" t="inlineStr">
        <is>
          <t>Montréal</t>
        </is>
      </c>
      <c r="I119" s="37" t="inlineStr">
        <is>
          <t>Environnement; Sciences</t>
        </is>
      </c>
      <c r="J119" s="36" t="n"/>
      <c r="K119" s="42" t="inlineStr">
        <is>
          <t>Ouvrir</t>
        </is>
      </c>
      <c r="L119" s="38" t="inlineStr">
        <is>
          <t>2026-09-16 11:39</t>
        </is>
      </c>
      <c r="M119" s="38" t="n"/>
      <c r="N119" s="39" t="n"/>
      <c r="O119" s="25" t="inlineStr">
        <is>
          <t>D</t>
        </is>
      </c>
      <c r="P119" s="25" t="inlineStr">
        <is>
          <t>L'asclépiade et les monarques à Dragons' Den!</t>
        </is>
      </c>
      <c r="Q119" s="25" t="inlineStr">
        <is>
          <t>Bonjour Gwen,</t>
        </is>
      </c>
      <c r="S119" s="46" t="inlineStr">
        <is>
          <t>Bonjour Gwen,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0" ht="240" customHeight="1" s="26">
      <c r="A120" s="43" t="inlineStr">
        <is>
          <t>B</t>
        </is>
      </c>
      <c r="B120" s="36" t="inlineStr">
        <is>
          <t>Mathieu-Robert</t>
        </is>
      </c>
      <c r="C120" s="36" t="inlineStr">
        <is>
          <t>Sauvé</t>
        </is>
      </c>
      <c r="D120" s="37" t="inlineStr">
        <is>
          <t>Journaliste</t>
        </is>
      </c>
      <c r="E120" s="36" t="inlineStr">
        <is>
          <t>Le Journal de Montréal</t>
        </is>
      </c>
      <c r="F120" s="36" t="inlineStr">
        <is>
          <t>mathieu-robert.sauve@umontreal.ca</t>
        </is>
      </c>
      <c r="G120" s="36" t="n"/>
      <c r="H120" s="36" t="inlineStr">
        <is>
          <t>Montréal</t>
        </is>
      </c>
      <c r="I120" s="37" t="inlineStr">
        <is>
          <t>Environnement; Sciences</t>
        </is>
      </c>
      <c r="J120" s="36" t="n"/>
      <c r="K120" s="42" t="inlineStr">
        <is>
          <t>Ouvrir</t>
        </is>
      </c>
      <c r="L120" s="38" t="inlineStr">
        <is>
          <t>2026-09-16 11:39</t>
        </is>
      </c>
      <c r="M120" s="38" t="n"/>
      <c r="N120" s="39" t="n"/>
      <c r="O120" s="25" t="inlineStr">
        <is>
          <t>D</t>
        </is>
      </c>
      <c r="P120" s="25" t="inlineStr">
        <is>
          <t>L'asclépiade et les monarques à Dragons' Den!</t>
        </is>
      </c>
      <c r="Q120" s="25" t="inlineStr">
        <is>
          <t>Bonjour Mathieu-Robert,</t>
        </is>
      </c>
      <c r="S120" s="46" t="inlineStr">
        <is>
          <t>Bonjour Mathieu-Robert,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1" ht="240" customHeight="1" s="26">
      <c r="A121" s="43" t="inlineStr">
        <is>
          <t>B</t>
        </is>
      </c>
      <c r="B121" s="36" t="inlineStr">
        <is>
          <t>Pierre</t>
        </is>
      </c>
      <c r="C121" s="36" t="inlineStr">
        <is>
          <t>St-Arnaud</t>
        </is>
      </c>
      <c r="D121" s="37" t="inlineStr">
        <is>
          <t>Reporter</t>
        </is>
      </c>
      <c r="E121" s="36" t="inlineStr">
        <is>
          <t>La Presse Canadienne</t>
        </is>
      </c>
      <c r="F121" s="36" t="inlineStr">
        <is>
          <t>pierre.st-arnaud@lapressecanadienne.com</t>
        </is>
      </c>
      <c r="G121" s="36" t="n"/>
      <c r="H121" s="36" t="inlineStr">
        <is>
          <t>Montréal</t>
        </is>
      </c>
      <c r="I121" s="37" t="inlineStr">
        <is>
          <t>Agriculture; Environnement</t>
        </is>
      </c>
      <c r="J121" s="36" t="n"/>
      <c r="K121" s="42" t="inlineStr">
        <is>
          <t>Ouvrir</t>
        </is>
      </c>
      <c r="L121" s="38" t="inlineStr">
        <is>
          <t>2026-09-16 11:40</t>
        </is>
      </c>
      <c r="M121" s="38" t="n"/>
      <c r="N121" s="39" t="n"/>
      <c r="O121" s="25" t="inlineStr">
        <is>
          <t>C</t>
        </is>
      </c>
      <c r="P121" s="25" t="inlineStr">
        <is>
          <t>L'asclépiade à Dragons' Den le 17 sept!</t>
        </is>
      </c>
      <c r="Q121" s="25" t="inlineStr">
        <is>
          <t>Bonjour Pierre,</t>
        </is>
      </c>
      <c r="S121" s="46" t="inlineStr">
        <is>
          <t>Bonjour Pierre,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2" ht="240" customHeight="1" s="26">
      <c r="A122" s="43" t="inlineStr">
        <is>
          <t>B</t>
        </is>
      </c>
      <c r="B122" s="36" t="inlineStr">
        <is>
          <t>Katherine</t>
        </is>
      </c>
      <c r="C122" s="36" t="inlineStr">
        <is>
          <t>Tremblay</t>
        </is>
      </c>
      <c r="D122" s="37" t="inlineStr">
        <is>
          <t>journaliste</t>
        </is>
      </c>
      <c r="E122" s="36" t="inlineStr">
        <is>
          <t>Radio-Canada (Montréal)</t>
        </is>
      </c>
      <c r="F122" s="36" t="inlineStr">
        <is>
          <t>katherine.tremblay@radio-canada.ca</t>
        </is>
      </c>
      <c r="G122" s="36" t="n"/>
      <c r="H122" s="36" t="inlineStr">
        <is>
          <t>Montérégie</t>
        </is>
      </c>
      <c r="I122" s="37" t="inlineStr">
        <is>
          <t>Consommation; Économie</t>
        </is>
      </c>
      <c r="J122" s="36" t="n"/>
      <c r="K122" s="42" t="inlineStr">
        <is>
          <t>Ouvrir</t>
        </is>
      </c>
      <c r="L122" s="38" t="inlineStr">
        <is>
          <t>2026-09-16 11:40</t>
        </is>
      </c>
      <c r="M122" s="38" t="n"/>
      <c r="N122" s="39" t="n"/>
      <c r="O122" s="25" t="inlineStr">
        <is>
          <t>E</t>
        </is>
      </c>
      <c r="P122" s="25" t="inlineStr">
        <is>
          <t>L'asclépiade de la Montérégie à Dragons' Den!</t>
        </is>
      </c>
      <c r="Q122" s="25" t="inlineStr">
        <is>
          <t>Bonjour Katherine,</t>
        </is>
      </c>
      <c r="S122" s="46" t="inlineStr">
        <is>
          <t>Bonjour Katherine,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3" ht="240" customHeight="1" s="26">
      <c r="A123" s="43" t="inlineStr">
        <is>
          <t>B</t>
        </is>
      </c>
      <c r="B123" s="36" t="inlineStr">
        <is>
          <t>Michel</t>
        </is>
      </c>
      <c r="C123" s="36" t="inlineStr">
        <is>
          <t>Tremblay</t>
        </is>
      </c>
      <c r="D123" s="37" t="inlineStr">
        <is>
          <t>Photojournaliste</t>
        </is>
      </c>
      <c r="E123" s="36" t="inlineStr">
        <is>
          <t>Pigiste</t>
        </is>
      </c>
      <c r="F123" s="36" t="inlineStr">
        <is>
          <t>miczoom@gmail.com</t>
        </is>
      </c>
      <c r="G123" s="36" t="inlineStr">
        <is>
          <t>4185409506</t>
        </is>
      </c>
      <c r="H123" s="36" t="inlineStr">
        <is>
          <t>Centre-du-Québec</t>
        </is>
      </c>
      <c r="I123" s="37" t="inlineStr">
        <is>
          <t>Environnement; Plein air</t>
        </is>
      </c>
      <c r="J123" s="36" t="n"/>
      <c r="K123" s="42" t="inlineStr">
        <is>
          <t>Ouvrir</t>
        </is>
      </c>
      <c r="L123" s="38" t="inlineStr">
        <is>
          <t>2026-09-16 11:41</t>
        </is>
      </c>
      <c r="M123" s="38" t="n"/>
      <c r="N123" s="39" t="n"/>
      <c r="O123" s="25" t="inlineStr">
        <is>
          <t>F</t>
        </is>
      </c>
      <c r="P123" s="25" t="inlineStr">
        <is>
          <t>L'asclépiade du Centre-du-Québec à Dragons' Den!</t>
        </is>
      </c>
      <c r="Q123" s="25" t="inlineStr">
        <is>
          <t>Bonjour Michel,</t>
        </is>
      </c>
      <c r="R123" s="25" t="inlineStr">
        <is>
          <t>Adresse personnelle : individualiser vraiment</t>
        </is>
      </c>
      <c r="S123" s="46" t="inlineStr">
        <is>
          <t>Bonjour Michel,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se cultive chez vous depuis la première vague de 2013, celle de la Coopérative Monark et de ses 125 producteurs. Plusieurs de ceux qui ont tenu bon après [la faillite d'octobre 2017](https://ici.radio-canada.ca/nouvelle/1061543/asclepiade-soyer-producteurs-industries-encore3-faillite-monark)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4" ht="240" customHeight="1" s="26">
      <c r="A124" s="43" t="inlineStr">
        <is>
          <t>B</t>
        </is>
      </c>
      <c r="B124" s="36" t="inlineStr">
        <is>
          <t>Martin</t>
        </is>
      </c>
      <c r="C124" s="36" t="inlineStr">
        <is>
          <t>Vallières</t>
        </is>
      </c>
      <c r="D124" s="37" t="inlineStr">
        <is>
          <t>Reporter</t>
        </is>
      </c>
      <c r="E124" s="36" t="inlineStr">
        <is>
          <t>La Presse</t>
        </is>
      </c>
      <c r="F124" s="36" t="inlineStr">
        <is>
          <t>mvallier@lapresse.ca</t>
        </is>
      </c>
      <c r="G124" s="36" t="inlineStr">
        <is>
          <t>514 285-7000, #4884</t>
        </is>
      </c>
      <c r="H124" s="36" t="inlineStr">
        <is>
          <t>Montréal</t>
        </is>
      </c>
      <c r="I124" s="37" t="inlineStr">
        <is>
          <t>Consommation; Économie</t>
        </is>
      </c>
      <c r="J124" s="36" t="n"/>
      <c r="K124" s="42" t="inlineStr">
        <is>
          <t>Ouvrir</t>
        </is>
      </c>
      <c r="L124" s="38" t="inlineStr">
        <is>
          <t>2026-09-16 11:41</t>
        </is>
      </c>
      <c r="M124" s="38" t="n"/>
      <c r="N124" s="39" t="n"/>
      <c r="O124" s="25" t="inlineStr">
        <is>
          <t>E</t>
        </is>
      </c>
      <c r="P124" s="25" t="inlineStr">
        <is>
          <t>L'asclépiade à Dragons' Den le 17 septembre!</t>
        </is>
      </c>
      <c r="Q124" s="25" t="inlineStr">
        <is>
          <t>Bonjour Martin,</t>
        </is>
      </c>
      <c r="S124" s="46" t="inlineStr">
        <is>
          <t>Bonjour Martin,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5" ht="240" customHeight="1" s="26">
      <c r="A125" s="43" t="inlineStr">
        <is>
          <t>B</t>
        </is>
      </c>
      <c r="B125" s="36" t="inlineStr">
        <is>
          <t>Yanick</t>
        </is>
      </c>
      <c r="C125" s="36" t="inlineStr">
        <is>
          <t>Villedieu</t>
        </is>
      </c>
      <c r="D125" s="37" t="inlineStr">
        <is>
          <t>Journaliste</t>
        </is>
      </c>
      <c r="E125" s="36" t="inlineStr">
        <is>
          <t>Radio-Canada (QC)</t>
        </is>
      </c>
      <c r="F125" s="36" t="inlineStr">
        <is>
          <t>villedieu.yanick@videotron.ca</t>
        </is>
      </c>
      <c r="G125" s="36" t="n"/>
      <c r="H125" s="36" t="inlineStr">
        <is>
          <t>Montréal</t>
        </is>
      </c>
      <c r="I125" s="37" t="inlineStr">
        <is>
          <t>Environnement; Sciences</t>
        </is>
      </c>
      <c r="J125" s="36" t="n"/>
      <c r="K125" s="42" t="inlineStr">
        <is>
          <t>Ouvrir</t>
        </is>
      </c>
      <c r="L125" s="38" t="inlineStr">
        <is>
          <t>2026-09-16 11:42</t>
        </is>
      </c>
      <c r="M125" s="38" t="n"/>
      <c r="N125" s="39" t="n"/>
      <c r="O125" s="25" t="inlineStr">
        <is>
          <t>D</t>
        </is>
      </c>
      <c r="P125" s="25" t="inlineStr">
        <is>
          <t>L'asclépiade et les monarques à Dragons' Den!</t>
        </is>
      </c>
      <c r="Q125" s="25" t="inlineStr">
        <is>
          <t>Bonjour Yanick,</t>
        </is>
      </c>
      <c r="R125" s="25" t="inlineStr">
        <is>
          <t>Adresse personnelle : individualiser vraiment</t>
        </is>
      </c>
      <c r="S125" s="46" t="inlineStr">
        <is>
          <t>Bonjour Yanick,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6" ht="240" customHeight="1" s="26">
      <c r="A126" s="43" t="inlineStr">
        <is>
          <t>C</t>
        </is>
      </c>
      <c r="B126" s="36" t="inlineStr">
        <is>
          <t>Jonathan</t>
        </is>
      </c>
      <c r="C126" s="36" t="inlineStr">
        <is>
          <t>Allard</t>
        </is>
      </c>
      <c r="D126" s="37" t="inlineStr">
        <is>
          <t>Journaliste/pupitreur</t>
        </is>
      </c>
      <c r="E126" s="36" t="inlineStr">
        <is>
          <t>Le Devoir</t>
        </is>
      </c>
      <c r="F126" s="36" t="inlineStr">
        <is>
          <t>jallard@ledevoir.com</t>
        </is>
      </c>
      <c r="G126" s="36" t="inlineStr">
        <is>
          <t>514 985-3333</t>
        </is>
      </c>
      <c r="H126" s="36" t="inlineStr">
        <is>
          <t>Montréal</t>
        </is>
      </c>
      <c r="I126" s="37" t="inlineStr">
        <is>
          <t>Sciences</t>
        </is>
      </c>
      <c r="J126" s="36" t="n"/>
      <c r="K126" s="42" t="inlineStr">
        <is>
          <t>Ouvrir</t>
        </is>
      </c>
      <c r="L126" s="38" t="inlineStr">
        <is>
          <t>2026-09-16 11:42</t>
        </is>
      </c>
      <c r="M126" s="38" t="n"/>
      <c r="N126" s="39" t="n"/>
      <c r="O126" s="25" t="inlineStr">
        <is>
          <t>D</t>
        </is>
      </c>
      <c r="P126" s="25" t="inlineStr">
        <is>
          <t>L'asclépiade et les monarques à Dragons' Den!</t>
        </is>
      </c>
      <c r="Q126" s="25" t="inlineStr">
        <is>
          <t>Bonjour Jonathan,</t>
        </is>
      </c>
      <c r="S126" s="46" t="inlineStr">
        <is>
          <t>Bonjour Jonathan,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7" ht="240" customHeight="1" s="26">
      <c r="A127" s="43" t="inlineStr">
        <is>
          <t>C</t>
        </is>
      </c>
      <c r="B127" s="36" t="inlineStr">
        <is>
          <t>Anick</t>
        </is>
      </c>
      <c r="C127" s="36" t="inlineStr">
        <is>
          <t>Baribeau</t>
        </is>
      </c>
      <c r="D127" s="37" t="inlineStr">
        <is>
          <t>Journaliste scientifique</t>
        </is>
      </c>
      <c r="E127" s="36" t="inlineStr">
        <is>
          <t>Pigiste</t>
        </is>
      </c>
      <c r="F127" s="36" t="inlineStr">
        <is>
          <t>anick.baribeau.1@ulaval.ca</t>
        </is>
      </c>
      <c r="G127" s="36" t="inlineStr">
        <is>
          <t>8196901837</t>
        </is>
      </c>
      <c r="H127" s="36" t="inlineStr">
        <is>
          <t>Mauricie</t>
        </is>
      </c>
      <c r="I127" s="37" t="inlineStr">
        <is>
          <t>Sciences</t>
        </is>
      </c>
      <c r="J127" s="36" t="n"/>
      <c r="K127" s="42" t="inlineStr">
        <is>
          <t>Ouvrir</t>
        </is>
      </c>
      <c r="L127" s="38" t="inlineStr">
        <is>
          <t>2026-09-16 11:43</t>
        </is>
      </c>
      <c r="M127" s="38" t="n"/>
      <c r="N127" s="39" t="n"/>
      <c r="O127" s="25" t="inlineStr">
        <is>
          <t>D</t>
        </is>
      </c>
      <c r="P127" s="25" t="inlineStr">
        <is>
          <t>L'asclépiade de la Mauricie à Dragons' Den!</t>
        </is>
      </c>
      <c r="Q127" s="25" t="inlineStr">
        <is>
          <t>Bonjour Anick,</t>
        </is>
      </c>
      <c r="R127" s="25" t="inlineStr">
        <is>
          <t>Adresse personnelle : individualiser vraiment</t>
        </is>
      </c>
      <c r="S127" s="46" t="inlineStr">
        <is>
          <t>Bonjour Anick,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a commencé chez vous, à Saint-Tite et dans Mékinac. Le groupe Protec-Style, qui exploitait l'usine de Saint-Tite sous le nom d'Encore 3, avait réservé 90 % de la récolte québécoise quand il a fait faillite [le 11 octobre 2017](https://ici.radio-canada.ca/nouvelle/1061543/asclepiade-soyer-producteurs-industries-encore3-faillite-monark), emportant Saint-Tite et son atelier de Granby. Les 125 producteurs de la Coopérative Monark ont pris le choc. Six semaines plus tard, [la MRC de Mékinac a fait pencher la relance](https://lenouvelliste.ca/affaires/asclepiade-les-activites-reprennent-a-lusine-de-saint-tite-9a7c0d08d77c81c7ab22fdfc8e47a922).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8" ht="240" customHeight="1" s="26">
      <c r="A128" s="43" t="inlineStr">
        <is>
          <t>C</t>
        </is>
      </c>
      <c r="B128" s="36" t="inlineStr">
        <is>
          <t>Félix-Antoine</t>
        </is>
      </c>
      <c r="C128" s="36" t="inlineStr">
        <is>
          <t>Beauchemin</t>
        </is>
      </c>
      <c r="D128" s="37" t="inlineStr">
        <is>
          <t>rédacteur en chef</t>
        </is>
      </c>
      <c r="E128" s="36" t="inlineStr">
        <is>
          <t>Pigiste</t>
        </is>
      </c>
      <c r="F128" s="36" t="inlineStr">
        <is>
          <t>editor@theconcordian.com</t>
        </is>
      </c>
      <c r="G128" s="36" t="n"/>
      <c r="H128" s="36" t="inlineStr">
        <is>
          <t>Montérégie</t>
        </is>
      </c>
      <c r="I128" s="37" t="inlineStr">
        <is>
          <t>Économie</t>
        </is>
      </c>
      <c r="J128" s="36" t="n"/>
      <c r="K128" s="42" t="inlineStr">
        <is>
          <t>Ouvrir</t>
        </is>
      </c>
      <c r="L128" s="38" t="inlineStr">
        <is>
          <t>2026-09-16 11:43</t>
        </is>
      </c>
      <c r="M128" s="38" t="n"/>
      <c r="N128" s="39" t="n"/>
      <c r="O128" s="25" t="inlineStr">
        <is>
          <t>E</t>
        </is>
      </c>
      <c r="P128" s="25" t="inlineStr">
        <is>
          <t>L'asclépiade de la Montérégie à Dragons' Den!</t>
        </is>
      </c>
      <c r="Q128" s="25" t="inlineStr">
        <is>
          <t>Bonjour Félix-Antoine,</t>
        </is>
      </c>
      <c r="R128" s="25" t="inlineStr">
        <is>
          <t>Adresse personnelle : individualiser vraiment</t>
        </is>
      </c>
      <c r="S128" s="46" t="inlineStr">
        <is>
          <t>Bonjour Félix-Antoine,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29" ht="240" customHeight="1" s="26">
      <c r="A129" s="43" t="inlineStr">
        <is>
          <t>C</t>
        </is>
      </c>
      <c r="B129" s="36" t="inlineStr">
        <is>
          <t>Karim</t>
        </is>
      </c>
      <c r="C129" s="36" t="inlineStr">
        <is>
          <t>Benessaieh</t>
        </is>
      </c>
      <c r="D129" s="37" t="inlineStr">
        <is>
          <t>Reporter</t>
        </is>
      </c>
      <c r="E129" s="36" t="inlineStr">
        <is>
          <t>La Presse</t>
        </is>
      </c>
      <c r="F129" s="36" t="inlineStr">
        <is>
          <t>kbenessaieh@lapresse.ca</t>
        </is>
      </c>
      <c r="G129" s="36" t="inlineStr">
        <is>
          <t>514 285-3335</t>
        </is>
      </c>
      <c r="H129" s="36" t="inlineStr">
        <is>
          <t>Montréal</t>
        </is>
      </c>
      <c r="I129" s="37" t="inlineStr">
        <is>
          <t>Sciences</t>
        </is>
      </c>
      <c r="J129" s="36" t="n"/>
      <c r="K129" s="42" t="inlineStr">
        <is>
          <t>Ouvrir</t>
        </is>
      </c>
      <c r="L129" s="38" t="inlineStr">
        <is>
          <t>2026-09-16 11:44</t>
        </is>
      </c>
      <c r="M129" s="38" t="n"/>
      <c r="N129" s="39" t="n"/>
      <c r="O129" s="25" t="inlineStr">
        <is>
          <t>D</t>
        </is>
      </c>
      <c r="P129" s="25" t="inlineStr">
        <is>
          <t>L'asclépiade et les monarques à Dragons' Den!</t>
        </is>
      </c>
      <c r="Q129" s="25" t="inlineStr">
        <is>
          <t>Bonjour Karim,</t>
        </is>
      </c>
      <c r="S129" s="46" t="inlineStr">
        <is>
          <t>Bonjour Karim,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0" ht="240" customHeight="1" s="26">
      <c r="A130" s="43" t="inlineStr">
        <is>
          <t>C</t>
        </is>
      </c>
      <c r="B130" s="36" t="inlineStr">
        <is>
          <t>Julia</t>
        </is>
      </c>
      <c r="C130" s="36" t="inlineStr">
        <is>
          <t>Bernier</t>
        </is>
      </c>
      <c r="D130" s="37" t="inlineStr">
        <is>
          <t>Journaliste</t>
        </is>
      </c>
      <c r="E130" s="36" t="inlineStr">
        <is>
          <t>Pigiste</t>
        </is>
      </c>
      <c r="F130" s="36" t="inlineStr">
        <is>
          <t>julia.bernier@mamh.gouv.qc.ca</t>
        </is>
      </c>
      <c r="G130" s="36" t="n"/>
      <c r="H130" s="36" t="inlineStr">
        <is>
          <t>Centre-du-Québec</t>
        </is>
      </c>
      <c r="I130" s="37" t="inlineStr">
        <is>
          <t>Art de vivre; Mode et beauté</t>
        </is>
      </c>
      <c r="J130" s="36" t="n"/>
      <c r="K130" s="42" t="inlineStr">
        <is>
          <t>Ouvrir</t>
        </is>
      </c>
      <c r="L130" s="38" t="inlineStr">
        <is>
          <t>2026-09-16 11:44</t>
        </is>
      </c>
      <c r="M130" s="38" t="n"/>
      <c r="N130" s="39" t="n"/>
      <c r="O130" s="25" t="inlineStr">
        <is>
          <t>G</t>
        </is>
      </c>
      <c r="P130" s="25" t="inlineStr">
        <is>
          <t>L'asclépiade du Centre-du-Québec à Dragons' Den!</t>
        </is>
      </c>
      <c r="Q130" s="25" t="inlineStr">
        <is>
          <t>Bonjour Julia,</t>
        </is>
      </c>
      <c r="R130" s="25" t="inlineStr">
        <is>
          <t>Adresse personnelle : individualiser vraiment</t>
        </is>
      </c>
      <c r="S130" s="46" t="inlineStr">
        <is>
          <t>Bonjour Julia,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se cultive chez vous depuis la première vague de 2013, celle de la Coopérative Monark et de ses 125 producteurs. Plusieurs de ceux qui ont tenu bon après [la faillite d'octobre 2017](https://ici.radio-canada.ca/nouvelle/1061543/asclepiade-soyer-producteurs-industries-encore3-faillite-monark)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1" ht="240" customHeight="1" s="26">
      <c r="A131" s="43" t="inlineStr">
        <is>
          <t>C</t>
        </is>
      </c>
      <c r="B131" s="36" t="inlineStr">
        <is>
          <t>Karine</t>
        </is>
      </c>
      <c r="C131" s="36" t="inlineStr">
        <is>
          <t>Boivin Forcier</t>
        </is>
      </c>
      <c r="D131" s="37" t="inlineStr">
        <is>
          <t>Rédactrice en chef</t>
        </is>
      </c>
      <c r="E131" s="36" t="inlineStr">
        <is>
          <t>Pigiste</t>
        </is>
      </c>
      <c r="F131" s="36" t="inlineStr">
        <is>
          <t>kbforcier@informeaffaires.com</t>
        </is>
      </c>
      <c r="G131" s="36" t="inlineStr">
        <is>
          <t>418 548-7100</t>
        </is>
      </c>
      <c r="H131" s="36" t="inlineStr">
        <is>
          <t>Saguenay - Lac-Saint-Jean</t>
        </is>
      </c>
      <c r="I131" s="37" t="inlineStr">
        <is>
          <t>Économie</t>
        </is>
      </c>
      <c r="J131" s="36" t="n"/>
      <c r="K131" s="42" t="inlineStr">
        <is>
          <t>Ouvrir</t>
        </is>
      </c>
      <c r="L131" s="38" t="inlineStr">
        <is>
          <t>2026-09-16 11:45</t>
        </is>
      </c>
      <c r="M131" s="38" t="n"/>
      <c r="N131" s="39" t="n"/>
      <c r="O131" s="25" t="inlineStr">
        <is>
          <t>E</t>
        </is>
      </c>
      <c r="P131" s="25" t="inlineStr">
        <is>
          <t>L'asclépiade à Dragons' Den le 17 septembre!</t>
        </is>
      </c>
      <c r="Q131" s="25" t="inlineStr">
        <is>
          <t>Bonjour Karine,</t>
        </is>
      </c>
      <c r="R131" s="25" t="inlineStr">
        <is>
          <t>Adresse personnelle : individualiser vraiment</t>
        </is>
      </c>
      <c r="S131" s="46" t="inlineStr">
        <is>
          <t>Bonjour Karine,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2" ht="240" customHeight="1" s="26">
      <c r="A132" s="43" t="inlineStr">
        <is>
          <t>C</t>
        </is>
      </c>
      <c r="B132" s="36" t="inlineStr">
        <is>
          <t>Audrey</t>
        </is>
      </c>
      <c r="C132" s="36" t="inlineStr">
        <is>
          <t>Bonaque</t>
        </is>
      </c>
      <c r="D132" s="37" t="inlineStr">
        <is>
          <t>Journaliste</t>
        </is>
      </c>
      <c r="E132" s="36" t="inlineStr">
        <is>
          <t>Noovo Info</t>
        </is>
      </c>
      <c r="F132" s="36" t="inlineStr">
        <is>
          <t>aud.bonaque@gmail.com</t>
        </is>
      </c>
      <c r="G132" s="36" t="n"/>
      <c r="H132" s="36" t="inlineStr">
        <is>
          <t>Montréal</t>
        </is>
      </c>
      <c r="I132" s="37" t="inlineStr">
        <is>
          <t>Environnement</t>
        </is>
      </c>
      <c r="J132" s="36" t="n"/>
      <c r="K132" s="42" t="inlineStr">
        <is>
          <t>Ouvrir</t>
        </is>
      </c>
      <c r="L132" s="38" t="inlineStr">
        <is>
          <t>2026-09-16 11:45</t>
        </is>
      </c>
      <c r="M132" s="38" t="n"/>
      <c r="N132" s="39" t="n"/>
      <c r="O132" s="25" t="inlineStr">
        <is>
          <t>I</t>
        </is>
      </c>
      <c r="P132" s="25" t="inlineStr">
        <is>
          <t>L'asclépiade à Dragons' Den le 17 septembre!</t>
        </is>
      </c>
      <c r="Q132" s="25" t="inlineStr">
        <is>
          <t>Bonjour Audrey,</t>
        </is>
      </c>
      <c r="R132" s="25" t="inlineStr">
        <is>
          <t>Adresse personnelle : individualiser vraiment</t>
        </is>
      </c>
      <c r="S132" s="46" t="inlineStr">
        <is>
          <t>Bonjour Audrey,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3" ht="240" customHeight="1" s="26">
      <c r="A133" s="43" t="inlineStr">
        <is>
          <t>C</t>
        </is>
      </c>
      <c r="B133" s="36" t="inlineStr">
        <is>
          <t>Luc</t>
        </is>
      </c>
      <c r="C133" s="36" t="inlineStr">
        <is>
          <t>Boulanger</t>
        </is>
      </c>
      <c r="D133" s="37" t="inlineStr">
        <is>
          <t>Reporter</t>
        </is>
      </c>
      <c r="E133" s="36" t="inlineStr">
        <is>
          <t>La Presse</t>
        </is>
      </c>
      <c r="F133" s="36" t="inlineStr">
        <is>
          <t>lboulanger@lapresse.ca</t>
        </is>
      </c>
      <c r="G133" s="36" t="inlineStr">
        <is>
          <t>514 285-7000 # 5041</t>
        </is>
      </c>
      <c r="H133" s="36" t="inlineStr">
        <is>
          <t>Montréal</t>
        </is>
      </c>
      <c r="I133" s="37" t="inlineStr">
        <is>
          <t>Art de vivre; Consommation</t>
        </is>
      </c>
      <c r="J133" s="36" t="n"/>
      <c r="K133" s="42" t="inlineStr">
        <is>
          <t>Ouvrir</t>
        </is>
      </c>
      <c r="L133" s="38" t="inlineStr">
        <is>
          <t>2026-09-16 11:46</t>
        </is>
      </c>
      <c r="M133" s="38" t="n"/>
      <c r="N133" s="39" t="n"/>
      <c r="O133" s="25" t="inlineStr">
        <is>
          <t>G</t>
        </is>
      </c>
      <c r="P133" s="25" t="inlineStr">
        <is>
          <t>L'asclépiade à Dragons' Den!</t>
        </is>
      </c>
      <c r="Q133" s="25" t="inlineStr">
        <is>
          <t>Bonjour Luc,</t>
        </is>
      </c>
      <c r="S133" s="46" t="inlineStr">
        <is>
          <t>Bonjour Luc,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4" ht="240" customHeight="1" s="26">
      <c r="A134" s="43" t="inlineStr">
        <is>
          <t>C</t>
        </is>
      </c>
      <c r="B134" s="36" t="inlineStr">
        <is>
          <t>Mario</t>
        </is>
      </c>
      <c r="C134" s="36" t="inlineStr">
        <is>
          <t>Boulianne</t>
        </is>
      </c>
      <c r="D134" s="37" t="inlineStr">
        <is>
          <t>Coordonnateur réseau et chroniqueur culturel</t>
        </is>
      </c>
      <c r="E134" s="36" t="inlineStr">
        <is>
          <t>Le Droit</t>
        </is>
      </c>
      <c r="F134" s="36" t="inlineStr">
        <is>
          <t>mboulianne@ledroit.com</t>
        </is>
      </c>
      <c r="G134" s="36" t="inlineStr">
        <is>
          <t>613 562-7715</t>
        </is>
      </c>
      <c r="H134" s="36" t="inlineStr">
        <is>
          <t>Outaouais</t>
        </is>
      </c>
      <c r="I134" s="37" t="inlineStr">
        <is>
          <t>Art de vivre</t>
        </is>
      </c>
      <c r="J134" s="36" t="n"/>
      <c r="K134" s="42" t="inlineStr">
        <is>
          <t>Ouvrir</t>
        </is>
      </c>
      <c r="L134" s="38" t="inlineStr">
        <is>
          <t>2026-09-16 11:46</t>
        </is>
      </c>
      <c r="M134" s="38" t="n"/>
      <c r="N134" s="39" t="n"/>
      <c r="O134" s="25" t="inlineStr">
        <is>
          <t>B</t>
        </is>
      </c>
      <c r="P134" s="25" t="inlineStr">
        <is>
          <t>L'asclépiade à Dragons' Den le 17 septembre!</t>
        </is>
      </c>
      <c r="Q134" s="25" t="inlineStr">
        <is>
          <t>Bonjour Mario,</t>
        </is>
      </c>
      <c r="S134" s="46" t="inlineStr">
        <is>
          <t>Bonjour Mario,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5" ht="240" customHeight="1" s="26">
      <c r="A135" s="43" t="inlineStr">
        <is>
          <t>C</t>
        </is>
      </c>
      <c r="B135" s="36" t="inlineStr">
        <is>
          <t>Bernard</t>
        </is>
      </c>
      <c r="C135" s="36" t="inlineStr">
        <is>
          <t>Brault</t>
        </is>
      </c>
      <c r="D135" s="37" t="inlineStr">
        <is>
          <t>Photographe de presse</t>
        </is>
      </c>
      <c r="E135" s="36" t="inlineStr">
        <is>
          <t>Pigiste</t>
        </is>
      </c>
      <c r="F135" s="36" t="inlineStr">
        <is>
          <t>photobro@videotron.ca</t>
        </is>
      </c>
      <c r="G135" s="36" t="inlineStr">
        <is>
          <t>514-972-6260</t>
        </is>
      </c>
      <c r="H135" s="36" t="inlineStr">
        <is>
          <t>Montérégie</t>
        </is>
      </c>
      <c r="I135" s="37" t="inlineStr">
        <is>
          <t>Plein air</t>
        </is>
      </c>
      <c r="J135" s="36" t="n"/>
      <c r="K135" s="42" t="inlineStr">
        <is>
          <t>Ouvrir</t>
        </is>
      </c>
      <c r="L135" s="38" t="inlineStr">
        <is>
          <t>2026-09-16 11:47</t>
        </is>
      </c>
      <c r="M135" s="38" t="n"/>
      <c r="N135" s="39" t="n"/>
      <c r="O135" s="25" t="inlineStr">
        <is>
          <t>F</t>
        </is>
      </c>
      <c r="P135" s="25" t="inlineStr">
        <is>
          <t>L'asclépiade de la Montérégie à Dragons' Den!</t>
        </is>
      </c>
      <c r="Q135" s="25" t="inlineStr">
        <is>
          <t>Bonjour Bernard,</t>
        </is>
      </c>
      <c r="R135" s="25" t="inlineStr">
        <is>
          <t>Adresse personnelle : individualiser vraiment</t>
        </is>
      </c>
      <c r="S135" s="46" t="inlineStr">
        <is>
          <t>Bonjour Bernard,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6" ht="240" customHeight="1" s="26">
      <c r="A136" s="43" t="inlineStr">
        <is>
          <t>C</t>
        </is>
      </c>
      <c r="B136" s="36" t="inlineStr">
        <is>
          <t>Pierre</t>
        </is>
      </c>
      <c r="C136" s="36" t="inlineStr">
        <is>
          <t>Brisson</t>
        </is>
      </c>
      <c r="D136" s="37" t="inlineStr">
        <is>
          <t>Chargé de cours universitaire</t>
        </is>
      </c>
      <c r="E136" s="36" t="inlineStr">
        <is>
          <t>Université de Montréal</t>
        </is>
      </c>
      <c r="F136" s="36" t="inlineStr">
        <is>
          <t>brissonp@hotmail.com</t>
        </is>
      </c>
      <c r="G136" s="36" t="inlineStr">
        <is>
          <t>514 237-4089</t>
        </is>
      </c>
      <c r="H136" s="36" t="inlineStr">
        <is>
          <t>Montréal</t>
        </is>
      </c>
      <c r="I136" s="37" t="inlineStr">
        <is>
          <t>Économie</t>
        </is>
      </c>
      <c r="J136" s="36" t="n"/>
      <c r="K136" s="42" t="inlineStr">
        <is>
          <t>Ouvrir</t>
        </is>
      </c>
      <c r="L136" s="38" t="inlineStr">
        <is>
          <t>2026-09-16 11:47</t>
        </is>
      </c>
      <c r="M136" s="38" t="n"/>
      <c r="N136" s="39" t="n"/>
      <c r="O136" s="25" t="inlineStr">
        <is>
          <t>E</t>
        </is>
      </c>
      <c r="P136" s="25" t="inlineStr">
        <is>
          <t>L'asclépiade à Dragons' Den le 17 septembre!</t>
        </is>
      </c>
      <c r="Q136" s="25" t="inlineStr">
        <is>
          <t>Bonjour Pierre,</t>
        </is>
      </c>
      <c r="R136" s="25" t="inlineStr">
        <is>
          <t>Adresse personnelle : individualiser vraiment</t>
        </is>
      </c>
      <c r="S136" s="46" t="inlineStr">
        <is>
          <t>Bonjour Pierre,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7" ht="240" customHeight="1" s="26">
      <c r="A137" s="43" t="inlineStr">
        <is>
          <t>C</t>
        </is>
      </c>
      <c r="B137" s="36" t="inlineStr">
        <is>
          <t>Laurence</t>
        </is>
      </c>
      <c r="C137" s="36" t="inlineStr">
        <is>
          <t>Brisson Dubreuil</t>
        </is>
      </c>
      <c r="D137" s="37" t="inlineStr">
        <is>
          <t>Journaliste vidéo</t>
        </is>
      </c>
      <c r="E137" s="36" t="inlineStr">
        <is>
          <t>Université Concordia</t>
        </is>
      </c>
      <c r="F137" s="36" t="inlineStr">
        <is>
          <t>laurence.brisson_dub@bellmedia.ca</t>
        </is>
      </c>
      <c r="G137" s="36" t="inlineStr">
        <is>
          <t>450-601-2502</t>
        </is>
      </c>
      <c r="H137" s="36" t="inlineStr">
        <is>
          <t>Montréal</t>
        </is>
      </c>
      <c r="I137" s="37" t="inlineStr">
        <is>
          <t>Environnement</t>
        </is>
      </c>
      <c r="J137" s="36" t="n"/>
      <c r="K137" s="42" t="inlineStr">
        <is>
          <t>Ouvrir</t>
        </is>
      </c>
      <c r="L137" s="38" t="inlineStr">
        <is>
          <t>2026-09-16 11:48</t>
        </is>
      </c>
      <c r="M137" s="38" t="n"/>
      <c r="N137" s="39" t="n"/>
      <c r="O137" s="25" t="inlineStr">
        <is>
          <t>I</t>
        </is>
      </c>
      <c r="P137" s="25" t="inlineStr">
        <is>
          <t>L'asclépiade à Dragons' Den le 17 septembre!</t>
        </is>
      </c>
      <c r="Q137" s="25" t="inlineStr">
        <is>
          <t>Bonjour Laurence,</t>
        </is>
      </c>
      <c r="S137" s="46" t="inlineStr">
        <is>
          <t>Bonjour Laurence,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8" ht="240" customHeight="1" s="26">
      <c r="A138" s="43" t="inlineStr">
        <is>
          <t>C</t>
        </is>
      </c>
      <c r="B138" s="36" t="inlineStr">
        <is>
          <t>Nathaniel</t>
        </is>
      </c>
      <c r="C138" s="36" t="inlineStr">
        <is>
          <t>Bronner</t>
        </is>
      </c>
      <c r="D138" s="37" t="inlineStr">
        <is>
          <t>Animateur, modérateur</t>
        </is>
      </c>
      <c r="E138" s="36" t="inlineStr">
        <is>
          <t>Pigiste</t>
        </is>
      </c>
      <c r="F138" s="36" t="inlineStr">
        <is>
          <t>nbronner@lesasdelinfo.com</t>
        </is>
      </c>
      <c r="G138" s="36" t="n"/>
      <c r="H138" s="36" t="inlineStr">
        <is>
          <t>Laurentides</t>
        </is>
      </c>
      <c r="I138" s="37" t="inlineStr">
        <is>
          <t>Art de vivre; Environnement</t>
        </is>
      </c>
      <c r="J138" s="36" t="n"/>
      <c r="K138" s="42" t="inlineStr">
        <is>
          <t>Ouvrir</t>
        </is>
      </c>
      <c r="L138" s="38" t="inlineStr">
        <is>
          <t>2026-09-16 11:48</t>
        </is>
      </c>
      <c r="M138" s="38" t="n"/>
      <c r="N138" s="39" t="n"/>
      <c r="O138" s="25" t="inlineStr">
        <is>
          <t>I</t>
        </is>
      </c>
      <c r="P138" s="25" t="inlineStr">
        <is>
          <t>L'asclépiade à Dragons' Den le 17 septembre!</t>
        </is>
      </c>
      <c r="Q138" s="25" t="inlineStr">
        <is>
          <t>Bonjour Nathaniel,</t>
        </is>
      </c>
      <c r="R138" s="25" t="inlineStr">
        <is>
          <t>Adresse personnelle : individualiser vraiment</t>
        </is>
      </c>
      <c r="S138" s="46" t="inlineStr">
        <is>
          <t>Bonjour Nathaniel,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39" ht="240" customHeight="1" s="26">
      <c r="A139" s="43" t="inlineStr">
        <is>
          <t>C</t>
        </is>
      </c>
      <c r="B139" s="36" t="inlineStr">
        <is>
          <t>Marie-France</t>
        </is>
      </c>
      <c r="C139" s="36" t="inlineStr">
        <is>
          <t>Bélanger</t>
        </is>
      </c>
      <c r="D139" s="37" t="inlineStr">
        <is>
          <t>Journaliste émission La facture</t>
        </is>
      </c>
      <c r="E139" s="36" t="inlineStr">
        <is>
          <t>Radio-Canada (QC)</t>
        </is>
      </c>
      <c r="F139" s="36" t="inlineStr">
        <is>
          <t>marie-france.belanger@radio-canada.ca</t>
        </is>
      </c>
      <c r="G139" s="36" t="inlineStr">
        <is>
          <t>514-258-0044</t>
        </is>
      </c>
      <c r="H139" s="36" t="inlineStr">
        <is>
          <t>Montréal</t>
        </is>
      </c>
      <c r="I139" s="37" t="inlineStr">
        <is>
          <t>Consommation</t>
        </is>
      </c>
      <c r="J139" s="36" t="n"/>
      <c r="K139" s="42" t="inlineStr">
        <is>
          <t>Ouvrir</t>
        </is>
      </c>
      <c r="L139" s="38" t="inlineStr">
        <is>
          <t>2026-09-16 11:49</t>
        </is>
      </c>
      <c r="M139" s="38" t="n"/>
      <c r="N139" s="39" t="n"/>
      <c r="O139" s="25" t="inlineStr">
        <is>
          <t>G</t>
        </is>
      </c>
      <c r="P139" s="25" t="inlineStr">
        <is>
          <t>L'asclépiade à Dragons' Den!</t>
        </is>
      </c>
      <c r="Q139" s="25" t="inlineStr">
        <is>
          <t>Bonjour Marie-France,</t>
        </is>
      </c>
      <c r="S139" s="46" t="inlineStr">
        <is>
          <t>Bonjour Marie-France,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0" ht="240" customHeight="1" s="26">
      <c r="A140" s="43" t="inlineStr">
        <is>
          <t>C</t>
        </is>
      </c>
      <c r="B140" s="36" t="inlineStr">
        <is>
          <t>Diane</t>
        </is>
      </c>
      <c r="C140" s="36" t="inlineStr">
        <is>
          <t>Bérard</t>
        </is>
      </c>
      <c r="D140" s="37" t="inlineStr">
        <is>
          <t>Journaliste</t>
        </is>
      </c>
      <c r="E140" s="36" t="inlineStr">
        <is>
          <t>Pigiste</t>
        </is>
      </c>
      <c r="F140" s="36" t="inlineStr">
        <is>
          <t>diane_berard@hotmail.com</t>
        </is>
      </c>
      <c r="G140" s="36" t="n"/>
      <c r="H140" s="36" t="inlineStr">
        <is>
          <t>Montréal</t>
        </is>
      </c>
      <c r="I140" s="37" t="inlineStr">
        <is>
          <t>Économie</t>
        </is>
      </c>
      <c r="J140" s="36" t="n"/>
      <c r="K140" s="42" t="inlineStr">
        <is>
          <t>Ouvrir</t>
        </is>
      </c>
      <c r="L140" s="38" t="inlineStr">
        <is>
          <t>2026-09-16 11:49</t>
        </is>
      </c>
      <c r="M140" s="38" t="n"/>
      <c r="N140" s="39" t="n"/>
      <c r="O140" s="25" t="inlineStr">
        <is>
          <t>E</t>
        </is>
      </c>
      <c r="P140" s="25" t="inlineStr">
        <is>
          <t>L'asclépiade à Dragons' Den le 17 septembre!</t>
        </is>
      </c>
      <c r="Q140" s="25" t="inlineStr">
        <is>
          <t>Bonjour Diane,</t>
        </is>
      </c>
      <c r="R140" s="25" t="inlineStr">
        <is>
          <t>Adresse personnelle : individualiser vraiment</t>
        </is>
      </c>
      <c r="S140" s="46" t="inlineStr">
        <is>
          <t>Bonjour Diane,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1" ht="240" customHeight="1" s="26">
      <c r="A141" s="43" t="inlineStr">
        <is>
          <t>C</t>
        </is>
      </c>
      <c r="B141" s="36" t="inlineStr">
        <is>
          <t>Julien</t>
        </is>
      </c>
      <c r="C141" s="36" t="inlineStr">
        <is>
          <t>Cayouette</t>
        </is>
      </c>
      <c r="D141" s="37" t="inlineStr">
        <is>
          <t>Rédacteur en chef</t>
        </is>
      </c>
      <c r="E141" s="36" t="inlineStr">
        <is>
          <t>Pigiste</t>
        </is>
      </c>
      <c r="F141" s="36" t="inlineStr">
        <is>
          <t>julien@francopresse.ca</t>
        </is>
      </c>
      <c r="G141" s="36" t="inlineStr">
        <is>
          <t>6132411017 #105</t>
        </is>
      </c>
      <c r="H141" s="36" t="inlineStr">
        <is>
          <t>Ontario</t>
        </is>
      </c>
      <c r="I141" s="37" t="inlineStr">
        <is>
          <t>Environnement</t>
        </is>
      </c>
      <c r="J141" s="36" t="n"/>
      <c r="K141" s="42" t="inlineStr">
        <is>
          <t>Ouvrir</t>
        </is>
      </c>
      <c r="L141" s="38" t="inlineStr">
        <is>
          <t>2026-09-16 11:50</t>
        </is>
      </c>
      <c r="M141" s="38" t="n"/>
      <c r="N141" s="39" t="n"/>
      <c r="O141" s="25" t="inlineStr">
        <is>
          <t>D</t>
        </is>
      </c>
      <c r="P141" s="25" t="inlineStr">
        <is>
          <t>L'asclépiade et les monarques à Dragons' Den!</t>
        </is>
      </c>
      <c r="Q141" s="25" t="inlineStr">
        <is>
          <t>Bonjour Julien,</t>
        </is>
      </c>
      <c r="R141" s="25" t="inlineStr">
        <is>
          <t>Adresse personnelle : individualiser vraiment</t>
        </is>
      </c>
      <c r="S141" s="46" t="inlineStr">
        <is>
          <t>Bonjour Julien,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2" ht="240" customHeight="1" s="26">
      <c r="A142" s="43" t="inlineStr">
        <is>
          <t>C</t>
        </is>
      </c>
      <c r="B142" s="36" t="inlineStr">
        <is>
          <t>Rudy</t>
        </is>
      </c>
      <c r="C142" s="36" t="inlineStr">
        <is>
          <t>Chabannes</t>
        </is>
      </c>
      <c r="D142" s="37" t="inlineStr">
        <is>
          <t>Rédacteur en chef</t>
        </is>
      </c>
      <c r="E142" s="36" t="inlineStr">
        <is>
          <t>TFO / TVOntario</t>
        </is>
      </c>
      <c r="F142" s="36" t="inlineStr">
        <is>
          <t>rchabannes@tfo.org</t>
        </is>
      </c>
      <c r="G142" s="36" t="inlineStr">
        <is>
          <t>4164281585</t>
        </is>
      </c>
      <c r="H142" s="36" t="inlineStr">
        <is>
          <t>Ontario</t>
        </is>
      </c>
      <c r="I142" s="37" t="inlineStr">
        <is>
          <t>Économie</t>
        </is>
      </c>
      <c r="J142" s="36" t="n"/>
      <c r="K142" s="42" t="inlineStr">
        <is>
          <t>Ouvrir</t>
        </is>
      </c>
      <c r="L142" s="38" t="inlineStr">
        <is>
          <t>2026-09-16 11:50</t>
        </is>
      </c>
      <c r="M142" s="38" t="n"/>
      <c r="N142" s="39" t="n"/>
      <c r="O142" s="25" t="inlineStr">
        <is>
          <t>I</t>
        </is>
      </c>
      <c r="P142" s="25" t="inlineStr">
        <is>
          <t>L'asclépiade à Dragons' Den le 17 septembre!</t>
        </is>
      </c>
      <c r="Q142" s="25" t="inlineStr">
        <is>
          <t>Bonjour Rudy,</t>
        </is>
      </c>
      <c r="S142" s="46" t="inlineStr">
        <is>
          <t>Bonjour Rudy,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3" ht="240" customHeight="1" s="26">
      <c r="A143" s="43" t="inlineStr">
        <is>
          <t>C</t>
        </is>
      </c>
      <c r="B143" s="36" t="inlineStr">
        <is>
          <t>Denis-Martin</t>
        </is>
      </c>
      <c r="C143" s="36" t="inlineStr">
        <is>
          <t>Chabot</t>
        </is>
      </c>
      <c r="D143" s="37" t="inlineStr">
        <is>
          <t>Journaliste/animateur à Canal M</t>
        </is>
      </c>
      <c r="E143" s="36" t="inlineStr">
        <is>
          <t>Pigiste</t>
        </is>
      </c>
      <c r="F143" s="36" t="inlineStr">
        <is>
          <t>denismartinchabot@gmail.com</t>
        </is>
      </c>
      <c r="G143" s="36" t="inlineStr">
        <is>
          <t>1-514-946-7079</t>
        </is>
      </c>
      <c r="H143" s="36" t="inlineStr">
        <is>
          <t>Montréal</t>
        </is>
      </c>
      <c r="I143" s="37" t="inlineStr">
        <is>
          <t>Environnement</t>
        </is>
      </c>
      <c r="J143" s="36" t="n"/>
      <c r="K143" s="42" t="inlineStr">
        <is>
          <t>Ouvrir</t>
        </is>
      </c>
      <c r="L143" s="38" t="inlineStr">
        <is>
          <t>2026-09-16 11:51</t>
        </is>
      </c>
      <c r="M143" s="38" t="n"/>
      <c r="N143" s="39" t="n"/>
      <c r="O143" s="25" t="inlineStr">
        <is>
          <t>I</t>
        </is>
      </c>
      <c r="P143" s="25" t="inlineStr">
        <is>
          <t>L'asclépiade à Dragons' Den le 17 septembre!</t>
        </is>
      </c>
      <c r="Q143" s="25" t="inlineStr">
        <is>
          <t>Bonjour Denis-Martin,</t>
        </is>
      </c>
      <c r="R143" s="25" t="inlineStr">
        <is>
          <t>Adresse personnelle : individualiser vraiment</t>
        </is>
      </c>
      <c r="S143" s="46" t="inlineStr">
        <is>
          <t>Bonjour Denis-Martin,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4" ht="240" customHeight="1" s="26">
      <c r="A144" s="43" t="inlineStr">
        <is>
          <t>C</t>
        </is>
      </c>
      <c r="B144" s="36" t="inlineStr">
        <is>
          <t>Loubna Majda</t>
        </is>
      </c>
      <c r="C144" s="36" t="inlineStr">
        <is>
          <t>Chourouk</t>
        </is>
      </c>
      <c r="D144" s="37" t="inlineStr">
        <is>
          <t>Animatrice Radio</t>
        </is>
      </c>
      <c r="E144" s="36" t="inlineStr">
        <is>
          <t>Pigiste</t>
        </is>
      </c>
      <c r="F144" s="36" t="inlineStr">
        <is>
          <t>loubna.majda.chourouk@gmail.com</t>
        </is>
      </c>
      <c r="G144" s="36" t="n"/>
      <c r="H144" s="36" t="inlineStr">
        <is>
          <t>Laval</t>
        </is>
      </c>
      <c r="I144" s="37" t="inlineStr">
        <is>
          <t>Art de vivre; Sciences</t>
        </is>
      </c>
      <c r="J144" s="36" t="n"/>
      <c r="K144" s="42" t="inlineStr">
        <is>
          <t>Ouvrir</t>
        </is>
      </c>
      <c r="L144" s="38" t="inlineStr">
        <is>
          <t>2026-09-16 11:52</t>
        </is>
      </c>
      <c r="M144" s="38" t="n"/>
      <c r="N144" s="39" t="n"/>
      <c r="O144" s="25" t="inlineStr">
        <is>
          <t>I</t>
        </is>
      </c>
      <c r="P144" s="25" t="inlineStr">
        <is>
          <t>L'asclépiade à Dragons' Den le 17 septembre!</t>
        </is>
      </c>
      <c r="Q144" s="25" t="inlineStr">
        <is>
          <t>Bonjour Loubna Majda,</t>
        </is>
      </c>
      <c r="R144" s="25" t="inlineStr">
        <is>
          <t>Adresse personnelle : individualiser vraiment</t>
        </is>
      </c>
      <c r="S144" s="46" t="inlineStr">
        <is>
          <t>Bonjour Loubna Majda,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5" ht="240" customHeight="1" s="26">
      <c r="A145" s="43" t="inlineStr">
        <is>
          <t>C</t>
        </is>
      </c>
      <c r="B145" s="36" t="inlineStr">
        <is>
          <t>Sarah</t>
        </is>
      </c>
      <c r="C145" s="36" t="inlineStr">
        <is>
          <t>Collardey</t>
        </is>
      </c>
      <c r="D145" s="37" t="inlineStr">
        <is>
          <t>Journaliste</t>
        </is>
      </c>
      <c r="E145" s="36" t="inlineStr">
        <is>
          <t>Le Devoir</t>
        </is>
      </c>
      <c r="F145" s="36" t="inlineStr">
        <is>
          <t>sarah.collardey1@gmail.com</t>
        </is>
      </c>
      <c r="G145" s="36" t="inlineStr">
        <is>
          <t>514 240-2971</t>
        </is>
      </c>
      <c r="H145" s="36" t="inlineStr">
        <is>
          <t>Montréal</t>
        </is>
      </c>
      <c r="I145" s="37" t="inlineStr">
        <is>
          <t>Sciences</t>
        </is>
      </c>
      <c r="J145" s="36" t="n"/>
      <c r="K145" s="42" t="inlineStr">
        <is>
          <t>Ouvrir</t>
        </is>
      </c>
      <c r="L145" s="38" t="inlineStr">
        <is>
          <t>2026-09-16 11:52</t>
        </is>
      </c>
      <c r="M145" s="38" t="n"/>
      <c r="N145" s="39" t="n"/>
      <c r="O145" s="25" t="inlineStr">
        <is>
          <t>D</t>
        </is>
      </c>
      <c r="P145" s="25" t="inlineStr">
        <is>
          <t>L'asclépiade et les monarques à Dragons' Den!</t>
        </is>
      </c>
      <c r="Q145" s="25" t="inlineStr">
        <is>
          <t>Bonjour Sarah,</t>
        </is>
      </c>
      <c r="R145" s="25" t="inlineStr">
        <is>
          <t>Adresse personnelle : individualiser vraiment</t>
        </is>
      </c>
      <c r="S145" s="46" t="inlineStr">
        <is>
          <t>Bonjour Sarah,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6" ht="240" customHeight="1" s="26">
      <c r="A146" s="43" t="inlineStr">
        <is>
          <t>C</t>
        </is>
      </c>
      <c r="B146" s="36" t="inlineStr">
        <is>
          <t>Kathleen</t>
        </is>
      </c>
      <c r="C146" s="36" t="inlineStr">
        <is>
          <t>Couillard</t>
        </is>
      </c>
      <c r="D146" s="37" t="inlineStr">
        <is>
          <t>Journaliste scientifique</t>
        </is>
      </c>
      <c r="E146" s="36" t="inlineStr">
        <is>
          <t>Agence Science Presse</t>
        </is>
      </c>
      <c r="F146" s="36" t="inlineStr">
        <is>
          <t>kcouillard@gmail.com</t>
        </is>
      </c>
      <c r="G146" s="36" t="n"/>
      <c r="H146" s="36" t="inlineStr">
        <is>
          <t>Montérégie</t>
        </is>
      </c>
      <c r="I146" s="37" t="inlineStr">
        <is>
          <t>Art de vivre; Sciences</t>
        </is>
      </c>
      <c r="J146" s="36" t="n"/>
      <c r="K146" s="42" t="inlineStr">
        <is>
          <t>Ouvrir</t>
        </is>
      </c>
      <c r="L146" s="38" t="inlineStr">
        <is>
          <t>2026-09-16 11:53</t>
        </is>
      </c>
      <c r="M146" s="38" t="n"/>
      <c r="N146" s="39" t="n"/>
      <c r="O146" s="25" t="inlineStr">
        <is>
          <t>B</t>
        </is>
      </c>
      <c r="P146" s="25" t="inlineStr">
        <is>
          <t>L'asclépiade de la Montérégie à Dragons' Den!</t>
        </is>
      </c>
      <c r="Q146" s="25" t="inlineStr">
        <is>
          <t>Bonjour Kathleen,</t>
        </is>
      </c>
      <c r="R146" s="25" t="inlineStr">
        <is>
          <t>Adresse personnelle : individualiser vraiment</t>
        </is>
      </c>
      <c r="S146" s="46" t="inlineStr">
        <is>
          <t>Bonjour Kathleen,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7" ht="240" customHeight="1" s="26">
      <c r="A147" s="43" t="inlineStr">
        <is>
          <t>C</t>
        </is>
      </c>
      <c r="B147" s="36" t="inlineStr">
        <is>
          <t>Oumou</t>
        </is>
      </c>
      <c r="C147" s="36" t="inlineStr">
        <is>
          <t>DIAKITÉ</t>
        </is>
      </c>
      <c r="D147" s="37" t="inlineStr">
        <is>
          <t>Journaliste</t>
        </is>
      </c>
      <c r="E147" s="36" t="inlineStr">
        <is>
          <t>Pigiste</t>
        </is>
      </c>
      <c r="F147" s="36" t="inlineStr">
        <is>
          <t>oumoudiakitepro@gmail.com</t>
        </is>
      </c>
      <c r="G147" s="36" t="inlineStr">
        <is>
          <t>(514) 256-9000</t>
        </is>
      </c>
      <c r="H147" s="36" t="inlineStr">
        <is>
          <t>Montréal</t>
        </is>
      </c>
      <c r="I147" s="37" t="inlineStr">
        <is>
          <t>Consommation</t>
        </is>
      </c>
      <c r="J147" s="36" t="n"/>
      <c r="K147" s="42" t="inlineStr">
        <is>
          <t>Ouvrir</t>
        </is>
      </c>
      <c r="L147" s="38" t="inlineStr">
        <is>
          <t>2026-09-16 11:53</t>
        </is>
      </c>
      <c r="M147" s="38" t="n"/>
      <c r="N147" s="39" t="n"/>
      <c r="O147" s="25" t="inlineStr">
        <is>
          <t>G</t>
        </is>
      </c>
      <c r="P147" s="25" t="inlineStr">
        <is>
          <t>L'asclépiade à Dragons' Den!</t>
        </is>
      </c>
      <c r="Q147" s="25" t="inlineStr">
        <is>
          <t>Bonjour Oumou,</t>
        </is>
      </c>
      <c r="R147" s="25" t="inlineStr">
        <is>
          <t>Adresse personnelle : individualiser vraiment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t>
        </is>
      </c>
      <c r="S147" s="46" t="inlineStr">
        <is>
          <t>Bonjour Oumou,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8" ht="240" customHeight="1" s="26">
      <c r="A148" s="43" t="inlineStr">
        <is>
          <t>C</t>
        </is>
      </c>
      <c r="B148" s="36" t="inlineStr">
        <is>
          <t>Agnès</t>
        </is>
      </c>
      <c r="C148" s="36" t="inlineStr">
        <is>
          <t>Delavault</t>
        </is>
      </c>
      <c r="D148" s="37" t="inlineStr">
        <is>
          <t>Directrice de contenu</t>
        </is>
      </c>
      <c r="E148" s="36" t="inlineStr">
        <is>
          <t>Protégez-Vous</t>
        </is>
      </c>
      <c r="F148" s="36" t="inlineStr">
        <is>
          <t>adelavault@pv.ca</t>
        </is>
      </c>
      <c r="G148" s="36" t="inlineStr">
        <is>
          <t>5144613000 poste 117</t>
        </is>
      </c>
      <c r="H148" s="36" t="inlineStr">
        <is>
          <t>Montréal</t>
        </is>
      </c>
      <c r="I148" s="37" t="inlineStr">
        <is>
          <t>Consommation</t>
        </is>
      </c>
      <c r="J148" s="36" t="n"/>
      <c r="K148" s="42" t="inlineStr">
        <is>
          <t>Ouvrir</t>
        </is>
      </c>
      <c r="L148" s="38" t="inlineStr">
        <is>
          <t>2026-09-16 11:54</t>
        </is>
      </c>
      <c r="M148" s="38" t="n"/>
      <c r="N148" s="39" t="n"/>
      <c r="O148" s="25" t="inlineStr">
        <is>
          <t>G</t>
        </is>
      </c>
      <c r="P148" s="25" t="inlineStr">
        <is>
          <t>L'asclépiade à Dragons' Den!</t>
        </is>
      </c>
      <c r="Q148" s="25" t="inlineStr">
        <is>
          <t>Bonjour Agnès,</t>
        </is>
      </c>
      <c r="S148" s="46" t="inlineStr">
        <is>
          <t>Bonjour Agnès,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49" ht="240" customHeight="1" s="26">
      <c r="A149" s="43" t="inlineStr">
        <is>
          <t>C</t>
        </is>
      </c>
      <c r="B149" s="36" t="inlineStr">
        <is>
          <t>Marcelin</t>
        </is>
      </c>
      <c r="C149" s="36" t="inlineStr">
        <is>
          <t>Delice</t>
        </is>
      </c>
      <c r="D149" s="37" t="inlineStr">
        <is>
          <t>Chroniqueur, Photographie, Journaliste Culturel</t>
        </is>
      </c>
      <c r="E149" s="36" t="inlineStr">
        <is>
          <t>Pigiste</t>
        </is>
      </c>
      <c r="F149" s="36" t="inlineStr">
        <is>
          <t>marcelindelice@gmail.com</t>
        </is>
      </c>
      <c r="G149" s="36" t="n"/>
      <c r="H149" s="36" t="inlineStr">
        <is>
          <t>Montréal</t>
        </is>
      </c>
      <c r="I149" s="37" t="inlineStr">
        <is>
          <t>Art de vivre; Environnement</t>
        </is>
      </c>
      <c r="J149" s="36" t="n"/>
      <c r="K149" s="42" t="inlineStr">
        <is>
          <t>Ouvrir</t>
        </is>
      </c>
      <c r="L149" s="38" t="inlineStr">
        <is>
          <t>2026-09-16 11:54</t>
        </is>
      </c>
      <c r="M149" s="38" t="n"/>
      <c r="N149" s="39" t="n"/>
      <c r="O149" s="25" t="inlineStr">
        <is>
          <t>D</t>
        </is>
      </c>
      <c r="P149" s="25" t="inlineStr">
        <is>
          <t>L'asclépiade et les monarques à Dragons' Den!</t>
        </is>
      </c>
      <c r="Q149" s="25" t="inlineStr">
        <is>
          <t>Bonjour Marcelin,</t>
        </is>
      </c>
      <c r="R149" s="25" t="inlineStr">
        <is>
          <t>Adresse personnelle : individualiser vraiment</t>
        </is>
      </c>
      <c r="S149" s="46" t="inlineStr">
        <is>
          <t>Bonjour Marcelin,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0" ht="240" customHeight="1" s="26">
      <c r="A150" s="43" t="inlineStr">
        <is>
          <t>C</t>
        </is>
      </c>
      <c r="B150" s="36" t="inlineStr">
        <is>
          <t>Alain</t>
        </is>
      </c>
      <c r="C150" s="36" t="inlineStr">
        <is>
          <t>Demers</t>
        </is>
      </c>
      <c r="D150" s="37" t="inlineStr">
        <is>
          <t>Chroniqueur - reporter</t>
        </is>
      </c>
      <c r="E150" s="36" t="inlineStr">
        <is>
          <t>Pigiste</t>
        </is>
      </c>
      <c r="F150" s="36" t="inlineStr">
        <is>
          <t>alain.demers@quebecormedia.com</t>
        </is>
      </c>
      <c r="G150" s="36" t="n"/>
      <c r="H150" s="36" t="inlineStr">
        <is>
          <t>Montréal</t>
        </is>
      </c>
      <c r="I150" s="37" t="inlineStr">
        <is>
          <t>Plein air</t>
        </is>
      </c>
      <c r="J150" s="36" t="n"/>
      <c r="K150" s="42" t="inlineStr">
        <is>
          <t>Ouvrir</t>
        </is>
      </c>
      <c r="L150" s="38" t="inlineStr">
        <is>
          <t>2026-09-16 11:55</t>
        </is>
      </c>
      <c r="M150" s="38" t="n"/>
      <c r="N150" s="39" t="n"/>
      <c r="O150" s="25" t="inlineStr">
        <is>
          <t>F</t>
        </is>
      </c>
      <c r="P150" s="25" t="inlineStr">
        <is>
          <t>L'asclépiade à Dragons' Den le 17 sept!</t>
        </is>
      </c>
      <c r="Q150" s="25" t="inlineStr">
        <is>
          <t>Bonjour Alain,</t>
        </is>
      </c>
      <c r="R150" s="25" t="inlineStr">
        <is>
          <t>Adresse personnelle : individualiser vraiment</t>
        </is>
      </c>
      <c r="S150" s="46" t="inlineStr">
        <is>
          <t>Bonjour Alain,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 plein air. À poids égal, la littérature donne la soie d'asclépiade pour environ 10 % plus isolante que le duvet. C'est un repère de laboratoire, pas une promesse de manteau, et c'est exactement pour ça que je préfère qu'on la teste.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Et si vous voulez tester plutôt que me croire sur parole, je vous envoie un produit avec plaisir.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1" ht="240" customHeight="1" s="26">
      <c r="A151" s="43" t="inlineStr">
        <is>
          <t>C</t>
        </is>
      </c>
      <c r="B151" s="36" t="inlineStr">
        <is>
          <t>Ivanoh</t>
        </is>
      </c>
      <c r="C151" s="36" t="inlineStr">
        <is>
          <t>Demers</t>
        </is>
      </c>
      <c r="D151" s="37" t="inlineStr">
        <is>
          <t>Photographe de presse</t>
        </is>
      </c>
      <c r="E151" s="36" t="inlineStr">
        <is>
          <t>Radio-Canada</t>
        </is>
      </c>
      <c r="F151" s="36" t="inlineStr">
        <is>
          <t>ivanoh.demers@radio-canada.ca</t>
        </is>
      </c>
      <c r="G151" s="36" t="inlineStr">
        <is>
          <t>5148846140</t>
        </is>
      </c>
      <c r="H151" s="36" t="inlineStr">
        <is>
          <t>Montréal</t>
        </is>
      </c>
      <c r="I151" s="37" t="inlineStr">
        <is>
          <t>Économie</t>
        </is>
      </c>
      <c r="J151" s="36" t="n"/>
      <c r="K151" s="42" t="inlineStr">
        <is>
          <t>Ouvrir</t>
        </is>
      </c>
      <c r="L151" s="38" t="inlineStr">
        <is>
          <t>2026-09-16 11:55</t>
        </is>
      </c>
      <c r="M151" s="38" t="n"/>
      <c r="N151" s="39" t="n"/>
      <c r="O151" s="25" t="inlineStr">
        <is>
          <t>E</t>
        </is>
      </c>
      <c r="P151" s="25" t="inlineStr">
        <is>
          <t>L'asclépiade à Dragons' Den le 17 septembre!</t>
        </is>
      </c>
      <c r="Q151" s="25" t="inlineStr">
        <is>
          <t>Bonjour Ivanoh,</t>
        </is>
      </c>
      <c r="S151" s="46" t="inlineStr">
        <is>
          <t>Bonjour Ivanoh,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2" ht="240" customHeight="1" s="26">
      <c r="A152" s="43" t="inlineStr">
        <is>
          <t>C</t>
        </is>
      </c>
      <c r="B152" s="36" t="inlineStr">
        <is>
          <t>Claude</t>
        </is>
      </c>
      <c r="C152" s="36" t="inlineStr">
        <is>
          <t>Deschênes</t>
        </is>
      </c>
      <c r="D152" s="37" t="inlineStr">
        <is>
          <t>Journaliste</t>
        </is>
      </c>
      <c r="E152" s="36" t="inlineStr">
        <is>
          <t>Avenues.ca</t>
        </is>
      </c>
      <c r="F152" s="36" t="inlineStr">
        <is>
          <t>claude.deschenes3@gmail.com</t>
        </is>
      </c>
      <c r="G152" s="36" t="n"/>
      <c r="H152" s="36" t="inlineStr">
        <is>
          <t>Montréal</t>
        </is>
      </c>
      <c r="I152" s="37" t="inlineStr">
        <is>
          <t>Art de vivre</t>
        </is>
      </c>
      <c r="J152" s="36" t="n"/>
      <c r="K152" s="42" t="inlineStr">
        <is>
          <t>Ouvrir</t>
        </is>
      </c>
      <c r="L152" s="38" t="inlineStr">
        <is>
          <t>2026-09-16 11:56</t>
        </is>
      </c>
      <c r="M152" s="38" t="n"/>
      <c r="N152" s="39" t="n"/>
      <c r="O152" s="25" t="inlineStr">
        <is>
          <t>G</t>
        </is>
      </c>
      <c r="P152" s="25" t="inlineStr">
        <is>
          <t>L'asclépiade à Dragons' Den!</t>
        </is>
      </c>
      <c r="Q152" s="25" t="inlineStr">
        <is>
          <t>Bonjour Claude,</t>
        </is>
      </c>
      <c r="R152" s="25" t="inlineStr">
        <is>
          <t>Adresse personnelle : individualiser vraiment</t>
        </is>
      </c>
      <c r="S152" s="46" t="inlineStr">
        <is>
          <t>Bonjour Claude,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3" ht="240" customHeight="1" s="26">
      <c r="A153" s="43" t="inlineStr">
        <is>
          <t>C</t>
        </is>
      </c>
      <c r="B153" s="36" t="inlineStr">
        <is>
          <t>Thomas</t>
        </is>
      </c>
      <c r="C153" s="36" t="inlineStr">
        <is>
          <t>Deshaies</t>
        </is>
      </c>
      <c r="D153" s="37" t="inlineStr">
        <is>
          <t>Journaliste</t>
        </is>
      </c>
      <c r="E153" s="36" t="inlineStr">
        <is>
          <t>Radio-Canada (QC)</t>
        </is>
      </c>
      <c r="F153" s="36" t="inlineStr">
        <is>
          <t>thomas.deshaies@radio-canada.ca</t>
        </is>
      </c>
      <c r="G153" s="36" t="inlineStr">
        <is>
          <t>514-914-4168</t>
        </is>
      </c>
      <c r="H153" s="36" t="inlineStr">
        <is>
          <t>Estrie</t>
        </is>
      </c>
      <c r="I153" s="37" t="inlineStr">
        <is>
          <t>Environnement</t>
        </is>
      </c>
      <c r="J153" s="36" t="n"/>
      <c r="K153" s="42" t="inlineStr">
        <is>
          <t>Ouvrir</t>
        </is>
      </c>
      <c r="L153" s="38" t="inlineStr">
        <is>
          <t>2026-09-16 11:56</t>
        </is>
      </c>
      <c r="M153" s="38" t="n"/>
      <c r="N153" s="39" t="n"/>
      <c r="O153" s="25" t="inlineStr">
        <is>
          <t>B</t>
        </is>
      </c>
      <c r="P153" s="25" t="inlineStr">
        <is>
          <t>L'asclépiade de l'Estrie à Dragons' Den!</t>
        </is>
      </c>
      <c r="Q153" s="25" t="inlineStr">
        <is>
          <t>Bonjour Thomas,</t>
        </is>
      </c>
      <c r="S153" s="46" t="inlineStr">
        <is>
          <t>Bonjour Thomas,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4" ht="240" customHeight="1" s="26">
      <c r="A154" s="43" t="inlineStr">
        <is>
          <t>C</t>
        </is>
      </c>
      <c r="B154" s="36" t="inlineStr">
        <is>
          <t>Claude</t>
        </is>
      </c>
      <c r="C154" s="36" t="inlineStr">
        <is>
          <t>Desjardins</t>
        </is>
      </c>
      <c r="D154" s="37" t="inlineStr">
        <is>
          <t>Fondateur Forum et webzine Québec-Politique.com 2005-2010</t>
        </is>
      </c>
      <c r="E154" s="36" t="inlineStr">
        <is>
          <t>Pigiste</t>
        </is>
      </c>
      <c r="F154" s="36" t="inlineStr">
        <is>
          <t>jardinsclaudes@gmail.com</t>
        </is>
      </c>
      <c r="G154" s="36" t="inlineStr">
        <is>
          <t>5148035270</t>
        </is>
      </c>
      <c r="H154" s="36" t="inlineStr">
        <is>
          <t>Lanaudière</t>
        </is>
      </c>
      <c r="I154" s="37" t="inlineStr">
        <is>
          <t>Économie</t>
        </is>
      </c>
      <c r="J154" s="36" t="n"/>
      <c r="K154" s="42" t="inlineStr">
        <is>
          <t>Ouvrir</t>
        </is>
      </c>
      <c r="L154" s="38" t="inlineStr">
        <is>
          <t>2026-09-16 11:57</t>
        </is>
      </c>
      <c r="M154" s="38" t="n"/>
      <c r="N154" s="39" t="n"/>
      <c r="O154" s="25" t="inlineStr">
        <is>
          <t>E</t>
        </is>
      </c>
      <c r="P154" s="25" t="inlineStr">
        <is>
          <t>L'asclépiade à Dragons' Den le 17 septembre!</t>
        </is>
      </c>
      <c r="Q154" s="25" t="inlineStr">
        <is>
          <t>Bonjour Claude,</t>
        </is>
      </c>
      <c r="R154" s="25" t="inlineStr">
        <is>
          <t>Adresse personnelle : individualiser vraiment</t>
        </is>
      </c>
      <c r="S154" s="46" t="inlineStr">
        <is>
          <t>Bonjour Claude,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5" ht="240" customHeight="1" s="26">
      <c r="A155" s="43" t="inlineStr">
        <is>
          <t>C</t>
        </is>
      </c>
      <c r="B155" s="36" t="inlineStr">
        <is>
          <t>Martine</t>
        </is>
      </c>
      <c r="C155" s="36" t="inlineStr">
        <is>
          <t>Deslauriers</t>
        </is>
      </c>
      <c r="D155" s="37" t="inlineStr">
        <is>
          <t>Photographe</t>
        </is>
      </c>
      <c r="E155" s="36" t="inlineStr">
        <is>
          <t>Pigiste</t>
        </is>
      </c>
      <c r="F155" s="36" t="inlineStr">
        <is>
          <t>mdeslauriersmba@gmail.com</t>
        </is>
      </c>
      <c r="G155" s="36" t="n"/>
      <c r="H155" s="36" t="inlineStr">
        <is>
          <t>Montréal</t>
        </is>
      </c>
      <c r="I155" s="37" t="inlineStr">
        <is>
          <t>Environnement</t>
        </is>
      </c>
      <c r="J155" s="36" t="n"/>
      <c r="K155" s="42" t="inlineStr">
        <is>
          <t>Ouvrir</t>
        </is>
      </c>
      <c r="L155" s="38" t="inlineStr">
        <is>
          <t>2026-09-16 11:57</t>
        </is>
      </c>
      <c r="M155" s="38" t="n"/>
      <c r="N155" s="39" t="n"/>
      <c r="O155" s="25" t="inlineStr">
        <is>
          <t>D</t>
        </is>
      </c>
      <c r="P155" s="25" t="inlineStr">
        <is>
          <t>L'asclépiade et les monarques à Dragons' Den!</t>
        </is>
      </c>
      <c r="Q155" s="25" t="inlineStr">
        <is>
          <t>Bonjour Martine,</t>
        </is>
      </c>
      <c r="R155" s="25" t="inlineStr">
        <is>
          <t>Adresse personnelle : individualiser vraiment</t>
        </is>
      </c>
      <c r="S155" s="46" t="inlineStr">
        <is>
          <t>Bonjour Martine,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6" ht="240" customHeight="1" s="26">
      <c r="A156" s="43" t="inlineStr">
        <is>
          <t>C</t>
        </is>
      </c>
      <c r="B156" s="36" t="inlineStr">
        <is>
          <t>Marie-Claude</t>
        </is>
      </c>
      <c r="C156" s="36" t="inlineStr">
        <is>
          <t>Di Lillo</t>
        </is>
      </c>
      <c r="D156" s="37" t="inlineStr">
        <is>
          <t>Journaliste et chroniqueuse</t>
        </is>
      </c>
      <c r="E156" s="36" t="inlineStr">
        <is>
          <t>Châtelaine</t>
        </is>
      </c>
      <c r="F156" s="36" t="inlineStr">
        <is>
          <t>mcdilillo@videotron.ca</t>
        </is>
      </c>
      <c r="G156" s="36" t="inlineStr">
        <is>
          <t>5142483136</t>
        </is>
      </c>
      <c r="H156" s="36" t="inlineStr">
        <is>
          <t>Laval</t>
        </is>
      </c>
      <c r="I156" s="37" t="inlineStr">
        <is>
          <t>Art de vivre; Consommation</t>
        </is>
      </c>
      <c r="J156" s="36" t="n"/>
      <c r="K156" s="42" t="inlineStr">
        <is>
          <t>Ouvrir</t>
        </is>
      </c>
      <c r="L156" s="38" t="inlineStr">
        <is>
          <t>2026-09-16 11:58</t>
        </is>
      </c>
      <c r="M156" s="38" t="n"/>
      <c r="N156" s="39" t="n"/>
      <c r="O156" s="25" t="inlineStr">
        <is>
          <t>B</t>
        </is>
      </c>
      <c r="P156" s="25" t="inlineStr">
        <is>
          <t>L'asclépiade à Dragons' Den le 17 septembre!</t>
        </is>
      </c>
      <c r="Q156" s="25" t="inlineStr">
        <is>
          <t>Bonjour Marie-Claude,</t>
        </is>
      </c>
      <c r="R156" s="25" t="inlineStr">
        <is>
          <t>Adresse personnelle : individualiser vraiment</t>
        </is>
      </c>
      <c r="S156" s="46" t="inlineStr">
        <is>
          <t>Bonjour Marie-Claude,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7" ht="240" customHeight="1" s="26">
      <c r="A157" s="43" t="inlineStr">
        <is>
          <t>C</t>
        </is>
      </c>
      <c r="B157" s="36" t="inlineStr">
        <is>
          <t>Jean-René</t>
        </is>
      </c>
      <c r="C157" s="36" t="inlineStr">
        <is>
          <t>Dufort</t>
        </is>
      </c>
      <c r="D157" s="37" t="inlineStr">
        <is>
          <t>animateur, rédacteur en chef, reportage</t>
        </is>
      </c>
      <c r="E157" s="36" t="inlineStr">
        <is>
          <t>Zone3</t>
        </is>
      </c>
      <c r="F157" s="36" t="inlineStr">
        <is>
          <t>jean-rene.dufort@radio-canada.ca</t>
        </is>
      </c>
      <c r="G157" s="36" t="inlineStr">
        <is>
          <t>514 9921566</t>
        </is>
      </c>
      <c r="H157" s="36" t="inlineStr">
        <is>
          <t>Montréal</t>
        </is>
      </c>
      <c r="I157" s="37" t="inlineStr">
        <is>
          <t>Sciences</t>
        </is>
      </c>
      <c r="J157" s="36" t="n"/>
      <c r="K157" s="42" t="inlineStr">
        <is>
          <t>Ouvrir</t>
        </is>
      </c>
      <c r="L157" s="38" t="inlineStr">
        <is>
          <t>2026-09-16 11:59</t>
        </is>
      </c>
      <c r="M157" s="38" t="n"/>
      <c r="N157" s="39" t="n"/>
      <c r="O157" s="25" t="inlineStr">
        <is>
          <t>I</t>
        </is>
      </c>
      <c r="P157" s="25" t="inlineStr">
        <is>
          <t>L'asclépiade à Dragons' Den le 17 septembre!</t>
        </is>
      </c>
      <c r="Q157" s="25" t="inlineStr">
        <is>
          <t>Bonjour Jean-René,</t>
        </is>
      </c>
      <c r="S157" s="46" t="inlineStr">
        <is>
          <t>Bonjour Jean-René,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8" ht="240" customHeight="1" s="26">
      <c r="A158" s="43" t="inlineStr">
        <is>
          <t>C</t>
        </is>
      </c>
      <c r="B158" s="36" t="inlineStr">
        <is>
          <t>Richard</t>
        </is>
      </c>
      <c r="C158" s="36" t="inlineStr">
        <is>
          <t>Dupaul</t>
        </is>
      </c>
      <c r="D158" s="37" t="inlineStr">
        <is>
          <t>Journaliste</t>
        </is>
      </c>
      <c r="E158" s="36" t="inlineStr">
        <is>
          <t>Pigiste</t>
        </is>
      </c>
      <c r="F158" s="36" t="inlineStr">
        <is>
          <t>richard.dupaul@gmail.com</t>
        </is>
      </c>
      <c r="G158" s="36" t="n"/>
      <c r="H158" s="36" t="inlineStr">
        <is>
          <t>Montréal</t>
        </is>
      </c>
      <c r="I158" s="37" t="inlineStr">
        <is>
          <t>Économie</t>
        </is>
      </c>
      <c r="J158" s="36" t="n"/>
      <c r="K158" s="42" t="inlineStr">
        <is>
          <t>Ouvrir</t>
        </is>
      </c>
      <c r="L158" s="38" t="inlineStr">
        <is>
          <t>2026-09-16 11:59</t>
        </is>
      </c>
      <c r="M158" s="38" t="n"/>
      <c r="N158" s="39" t="n"/>
      <c r="O158" s="25" t="inlineStr">
        <is>
          <t>E</t>
        </is>
      </c>
      <c r="P158" s="25" t="inlineStr">
        <is>
          <t>L'asclépiade à Dragons' Den le 17 septembre!</t>
        </is>
      </c>
      <c r="Q158" s="25" t="inlineStr">
        <is>
          <t>Bonjour Richard,</t>
        </is>
      </c>
      <c r="R158" s="25" t="inlineStr">
        <is>
          <t>Adresse personnelle : individualiser vraiment</t>
        </is>
      </c>
      <c r="S158" s="46" t="inlineStr">
        <is>
          <t>Bonjour Richard,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59" ht="240" customHeight="1" s="26">
      <c r="A159" s="43" t="inlineStr">
        <is>
          <t>C</t>
        </is>
      </c>
      <c r="B159" s="36" t="inlineStr">
        <is>
          <t>Stéphanie</t>
        </is>
      </c>
      <c r="C159" s="36" t="inlineStr">
        <is>
          <t>Dupuis</t>
        </is>
      </c>
      <c r="D159" s="37" t="inlineStr">
        <is>
          <t>Journaliste</t>
        </is>
      </c>
      <c r="E159" s="36" t="inlineStr">
        <is>
          <t>Radio-Canada (Montréal)</t>
        </is>
      </c>
      <c r="F159" s="36" t="inlineStr">
        <is>
          <t>dupuis.stephanie@outlook.com</t>
        </is>
      </c>
      <c r="G159" s="36" t="inlineStr">
        <is>
          <t>5148312787</t>
        </is>
      </c>
      <c r="H159" s="36" t="inlineStr">
        <is>
          <t>Montréal</t>
        </is>
      </c>
      <c r="I159" s="37" t="inlineStr">
        <is>
          <t>Art de vivre; Consommation</t>
        </is>
      </c>
      <c r="J159" s="36" t="n"/>
      <c r="K159" s="42" t="inlineStr">
        <is>
          <t>Ouvrir</t>
        </is>
      </c>
      <c r="L159" s="38" t="inlineStr">
        <is>
          <t>2026-09-16 12:00</t>
        </is>
      </c>
      <c r="M159" s="38" t="n"/>
      <c r="N159" s="39" t="n"/>
      <c r="O159" s="25" t="inlineStr">
        <is>
          <t>G</t>
        </is>
      </c>
      <c r="P159" s="25" t="inlineStr">
        <is>
          <t>L'asclépiade à Dragons' Den!</t>
        </is>
      </c>
      <c r="Q159" s="25" t="inlineStr">
        <is>
          <t>Bonjour Stéphanie,</t>
        </is>
      </c>
      <c r="R159" s="25" t="inlineStr">
        <is>
          <t>Adresse personnelle : individualiser vraiment</t>
        </is>
      </c>
      <c r="S159" s="46" t="inlineStr">
        <is>
          <t>Bonjour Stéphanie,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0" ht="240" customHeight="1" s="26">
      <c r="A160" s="43" t="inlineStr">
        <is>
          <t>C</t>
        </is>
      </c>
      <c r="B160" s="36" t="inlineStr">
        <is>
          <t>Maxim</t>
        </is>
      </c>
      <c r="C160" s="36" t="inlineStr">
        <is>
          <t>Fauteux</t>
        </is>
      </c>
      <c r="D160" s="37" t="inlineStr">
        <is>
          <t>Journaliste en formation</t>
        </is>
      </c>
      <c r="E160" s="36" t="inlineStr">
        <is>
          <t>Pigiste</t>
        </is>
      </c>
      <c r="F160" s="36" t="inlineStr">
        <is>
          <t>2433413@etu.cegepjonquiere.ca</t>
        </is>
      </c>
      <c r="G160" s="36" t="n"/>
      <c r="H160" s="36" t="inlineStr">
        <is>
          <t>Saguenay - Lac-Saint-Jean</t>
        </is>
      </c>
      <c r="I160" s="37" t="inlineStr">
        <is>
          <t>Environnement</t>
        </is>
      </c>
      <c r="J160" s="36" t="n"/>
      <c r="K160" s="42" t="inlineStr">
        <is>
          <t>Ouvrir</t>
        </is>
      </c>
      <c r="L160" s="38" t="inlineStr">
        <is>
          <t>2026-09-16 12:00</t>
        </is>
      </c>
      <c r="M160" s="38" t="n"/>
      <c r="N160" s="39" t="n"/>
      <c r="O160" s="25" t="inlineStr">
        <is>
          <t>D</t>
        </is>
      </c>
      <c r="P160" s="25" t="inlineStr">
        <is>
          <t>L'asclépiade et les monarques à Dragons' Den!</t>
        </is>
      </c>
      <c r="Q160" s="25" t="inlineStr">
        <is>
          <t>Bonjour Maxim,</t>
        </is>
      </c>
      <c r="R160" s="25" t="inlineStr">
        <is>
          <t>Adresse personnelle : individualiser vraiment</t>
        </is>
      </c>
      <c r="S160" s="46" t="inlineStr">
        <is>
          <t>Bonjour Maxim,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1" ht="240" customHeight="1" s="26">
      <c r="A161" s="43" t="inlineStr">
        <is>
          <t>C</t>
        </is>
      </c>
      <c r="B161" s="36" t="inlineStr">
        <is>
          <t>Ronald</t>
        </is>
      </c>
      <c r="C161" s="36" t="inlineStr">
        <is>
          <t>Georges</t>
        </is>
      </c>
      <c r="D161" s="37" t="inlineStr">
        <is>
          <t>Journaliste - commentateur</t>
        </is>
      </c>
      <c r="E161" s="36" t="inlineStr">
        <is>
          <t>Radio-Canada (Radio - Montréal)</t>
        </is>
      </c>
      <c r="F161" s="36" t="inlineStr">
        <is>
          <t>ronald.georges@radio-canada.ca</t>
        </is>
      </c>
      <c r="G161" s="36" t="inlineStr">
        <is>
          <t>514 597-7989</t>
        </is>
      </c>
      <c r="H161" s="36" t="inlineStr">
        <is>
          <t>Montréal</t>
        </is>
      </c>
      <c r="I161" s="37" t="inlineStr">
        <is>
          <t>Art de vivre; Consommation</t>
        </is>
      </c>
      <c r="J161" s="36" t="n"/>
      <c r="K161" s="42" t="inlineStr">
        <is>
          <t>Ouvrir</t>
        </is>
      </c>
      <c r="L161" s="38" t="inlineStr">
        <is>
          <t>2026-09-16 12:01</t>
        </is>
      </c>
      <c r="M161" s="38" t="n"/>
      <c r="N161" s="39" t="n"/>
      <c r="O161" s="25" t="inlineStr">
        <is>
          <t>I</t>
        </is>
      </c>
      <c r="P161" s="25" t="inlineStr">
        <is>
          <t>L'asclépiade à Dragons' Den le 17 septembre!</t>
        </is>
      </c>
      <c r="Q161" s="25" t="inlineStr">
        <is>
          <t>Bonjour Ronald,</t>
        </is>
      </c>
      <c r="S161" s="46" t="inlineStr">
        <is>
          <t>Bonjour Ronald,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2" ht="240" customHeight="1" s="26">
      <c r="A162" s="43" t="inlineStr">
        <is>
          <t>C</t>
        </is>
      </c>
      <c r="B162" s="36" t="inlineStr">
        <is>
          <t>Stéphane</t>
        </is>
      </c>
      <c r="C162" s="36" t="inlineStr">
        <is>
          <t>Giroux</t>
        </is>
      </c>
      <c r="D162" s="37" t="inlineStr">
        <is>
          <t>Journaliste</t>
        </is>
      </c>
      <c r="E162" s="36" t="inlineStr">
        <is>
          <t>Bell Média</t>
        </is>
      </c>
      <c r="F162" s="36" t="inlineStr">
        <is>
          <t>stephane.giroux@bellmedia.ca</t>
        </is>
      </c>
      <c r="G162" s="36" t="n"/>
      <c r="H162" s="36" t="inlineStr">
        <is>
          <t>Montréal</t>
        </is>
      </c>
      <c r="I162" s="37" t="inlineStr">
        <is>
          <t>Économie</t>
        </is>
      </c>
      <c r="J162" s="36" t="n"/>
      <c r="K162" s="42" t="inlineStr">
        <is>
          <t>Ouvrir</t>
        </is>
      </c>
      <c r="L162" s="38" t="inlineStr">
        <is>
          <t>2026-09-16 12:01</t>
        </is>
      </c>
      <c r="M162" s="38" t="n"/>
      <c r="N162" s="39" t="n"/>
      <c r="O162" s="25" t="inlineStr">
        <is>
          <t>E</t>
        </is>
      </c>
      <c r="P162" s="25" t="inlineStr">
        <is>
          <t>L'asclépiade à Dragons' Den le 17 septembre!</t>
        </is>
      </c>
      <c r="Q162" s="25" t="inlineStr">
        <is>
          <t>Bonjour Stéphane,</t>
        </is>
      </c>
      <c r="S162" s="46" t="inlineStr">
        <is>
          <t>Bonjour Stéphane,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3" ht="240" customHeight="1" s="26">
      <c r="A163" s="43" t="inlineStr">
        <is>
          <t>C</t>
        </is>
      </c>
      <c r="B163" s="36" t="inlineStr">
        <is>
          <t>Zacharie</t>
        </is>
      </c>
      <c r="C163" s="36" t="inlineStr">
        <is>
          <t>Goudreault</t>
        </is>
      </c>
      <c r="D163" s="37" t="inlineStr">
        <is>
          <t>Journaliste</t>
        </is>
      </c>
      <c r="E163" s="36" t="inlineStr">
        <is>
          <t>Le Devoir</t>
        </is>
      </c>
      <c r="F163" s="36" t="inlineStr">
        <is>
          <t>zgoudreault@ledevoir.com</t>
        </is>
      </c>
      <c r="G163" s="36" t="inlineStr">
        <is>
          <t>514 985-3333</t>
        </is>
      </c>
      <c r="H163" s="36" t="inlineStr">
        <is>
          <t>Montréal</t>
        </is>
      </c>
      <c r="I163" s="37" t="inlineStr">
        <is>
          <t>Environnement</t>
        </is>
      </c>
      <c r="J163" s="36" t="n"/>
      <c r="K163" s="42" t="inlineStr">
        <is>
          <t>Ouvrir</t>
        </is>
      </c>
      <c r="L163" s="38" t="inlineStr">
        <is>
          <t>2026-09-16 12:02</t>
        </is>
      </c>
      <c r="M163" s="38" t="n"/>
      <c r="N163" s="39" t="n"/>
      <c r="O163" s="25" t="inlineStr">
        <is>
          <t>D</t>
        </is>
      </c>
      <c r="P163" s="25" t="inlineStr">
        <is>
          <t>L'asclépiade et les monarques à Dragons' Den!</t>
        </is>
      </c>
      <c r="Q163" s="25" t="inlineStr">
        <is>
          <t>Bonjour Zacharie,</t>
        </is>
      </c>
      <c r="S163" s="46" t="inlineStr">
        <is>
          <t>Bonjour Zacharie,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4" ht="240" customHeight="1" s="26">
      <c r="A164" s="43" t="inlineStr">
        <is>
          <t>C</t>
        </is>
      </c>
      <c r="B164" s="36" t="inlineStr">
        <is>
          <t>Isabelle</t>
        </is>
      </c>
      <c r="C164" s="36" t="inlineStr">
        <is>
          <t>Grégoire</t>
        </is>
      </c>
      <c r="D164" s="37" t="inlineStr">
        <is>
          <t>Journaliste</t>
        </is>
      </c>
      <c r="E164" s="36" t="inlineStr">
        <is>
          <t>Pigiste</t>
        </is>
      </c>
      <c r="F164" s="36" t="inlineStr">
        <is>
          <t>gregisa@gmail.com</t>
        </is>
      </c>
      <c r="G164" s="36" t="n"/>
      <c r="H164" s="36" t="inlineStr">
        <is>
          <t>Montréal</t>
        </is>
      </c>
      <c r="I164" s="37" t="inlineStr">
        <is>
          <t>Art de vivre</t>
        </is>
      </c>
      <c r="J164" s="36" t="n"/>
      <c r="K164" s="42" t="inlineStr">
        <is>
          <t>Ouvrir</t>
        </is>
      </c>
      <c r="L164" s="38" t="inlineStr">
        <is>
          <t>2026-09-16 12:02</t>
        </is>
      </c>
      <c r="M164" s="38" t="n"/>
      <c r="N164" s="39" t="n"/>
      <c r="O164" s="25" t="inlineStr">
        <is>
          <t>G</t>
        </is>
      </c>
      <c r="P164" s="25" t="inlineStr">
        <is>
          <t>L'asclépiade à Dragons' Den!</t>
        </is>
      </c>
      <c r="Q164" s="25" t="inlineStr">
        <is>
          <t>Bonjour Isabelle,</t>
        </is>
      </c>
      <c r="R164" s="25" t="inlineStr">
        <is>
          <t>Adresse personnelle : individualiser vraiment</t>
        </is>
      </c>
      <c r="S164" s="46" t="inlineStr">
        <is>
          <t>Bonjour Isabelle,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5" ht="240" customHeight="1" s="26">
      <c r="A165" s="43" t="inlineStr">
        <is>
          <t>C</t>
        </is>
      </c>
      <c r="B165" s="36" t="inlineStr">
        <is>
          <t>Chantal</t>
        </is>
      </c>
      <c r="C165" s="36" t="inlineStr">
        <is>
          <t>Guy</t>
        </is>
      </c>
      <c r="D165" s="37" t="inlineStr">
        <is>
          <t>Chroniqueuse</t>
        </is>
      </c>
      <c r="E165" s="36" t="inlineStr">
        <is>
          <t>La Presse</t>
        </is>
      </c>
      <c r="F165" s="36" t="inlineStr">
        <is>
          <t>cguy@lapresse.ca</t>
        </is>
      </c>
      <c r="G165" s="36" t="inlineStr">
        <is>
          <t>514 285-7070</t>
        </is>
      </c>
      <c r="H165" s="36" t="inlineStr">
        <is>
          <t>Montréal</t>
        </is>
      </c>
      <c r="I165" s="37" t="inlineStr">
        <is>
          <t>Art de vivre</t>
        </is>
      </c>
      <c r="J165" s="36" t="n"/>
      <c r="K165" s="42" t="inlineStr">
        <is>
          <t>Ouvrir</t>
        </is>
      </c>
      <c r="L165" s="38" t="inlineStr">
        <is>
          <t>2026-09-16 12:03</t>
        </is>
      </c>
      <c r="M165" s="38" t="n"/>
      <c r="N165" s="39" t="n"/>
      <c r="O165" s="25" t="inlineStr">
        <is>
          <t>G</t>
        </is>
      </c>
      <c r="P165" s="25" t="inlineStr">
        <is>
          <t>L'asclépiade à Dragons' Den!</t>
        </is>
      </c>
      <c r="Q165" s="25" t="inlineStr">
        <is>
          <t>Bonjour Chantal,</t>
        </is>
      </c>
      <c r="S165" s="46" t="inlineStr">
        <is>
          <t>Bonjour Chantal,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6" ht="240" customHeight="1" s="26">
      <c r="A166" s="43" t="inlineStr">
        <is>
          <t>C</t>
        </is>
      </c>
      <c r="B166" s="36" t="inlineStr">
        <is>
          <t>Matthieu</t>
        </is>
      </c>
      <c r="C166" s="36" t="inlineStr">
        <is>
          <t>Hains</t>
        </is>
      </c>
      <c r="D166" s="37" t="inlineStr">
        <is>
          <t>Journaliste</t>
        </is>
      </c>
      <c r="E166" s="36" t="inlineStr">
        <is>
          <t>Les Affaires</t>
        </is>
      </c>
      <c r="F166" s="36" t="inlineStr">
        <is>
          <t>matthieu.hains@groupecontex.ca</t>
        </is>
      </c>
      <c r="G166" s="36" t="inlineStr">
        <is>
          <t>4383891317</t>
        </is>
      </c>
      <c r="H166" s="36" t="inlineStr">
        <is>
          <t>Montréal</t>
        </is>
      </c>
      <c r="I166" s="37" t="inlineStr">
        <is>
          <t>Économie</t>
        </is>
      </c>
      <c r="J166" s="36" t="n"/>
      <c r="K166" s="42" t="inlineStr">
        <is>
          <t>Ouvrir</t>
        </is>
      </c>
      <c r="L166" s="38" t="inlineStr">
        <is>
          <t>2026-09-16 12:03</t>
        </is>
      </c>
      <c r="M166" s="38" t="n"/>
      <c r="N166" s="39" t="n"/>
      <c r="O166" s="25" t="inlineStr">
        <is>
          <t>E</t>
        </is>
      </c>
      <c r="P166" s="25" t="inlineStr">
        <is>
          <t>L'asclépiade à Dragons' Den le 17 septembre!</t>
        </is>
      </c>
      <c r="Q166" s="25" t="inlineStr">
        <is>
          <t>Bonjour Matthieu,</t>
        </is>
      </c>
      <c r="S166" s="46" t="inlineStr">
        <is>
          <t>Bonjour Matthieu,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7" ht="240" customHeight="1" s="26">
      <c r="A167" s="43" t="inlineStr">
        <is>
          <t>C</t>
        </is>
      </c>
      <c r="B167" s="36" t="inlineStr">
        <is>
          <t>Francis</t>
        </is>
      </c>
      <c r="C167" s="36" t="inlineStr">
        <is>
          <t>Higgins</t>
        </is>
      </c>
      <c r="D167" s="37" t="inlineStr">
        <is>
          <t>Journaliste</t>
        </is>
      </c>
      <c r="E167" s="36" t="inlineStr">
        <is>
          <t>Le Soleil</t>
        </is>
      </c>
      <c r="F167" s="36" t="inlineStr">
        <is>
          <t>fhiggins@lesoleil.com</t>
        </is>
      </c>
      <c r="G167" s="36" t="inlineStr">
        <is>
          <t>418 686-3233 poste 2409</t>
        </is>
      </c>
      <c r="H167" s="36" t="inlineStr">
        <is>
          <t>Capitale-Nationale/Chaudière-Appalaches</t>
        </is>
      </c>
      <c r="I167" s="37" t="inlineStr">
        <is>
          <t>Agriculture; Art de vivre; Consommation</t>
        </is>
      </c>
      <c r="J167" s="43" t="inlineStr">
        <is>
          <t>Oui</t>
        </is>
      </c>
      <c r="K167" s="42" t="inlineStr">
        <is>
          <t>Ouvrir</t>
        </is>
      </c>
      <c r="L167" s="38" t="inlineStr">
        <is>
          <t>2026-09-16 12:32</t>
        </is>
      </c>
      <c r="M167" s="38" t="n"/>
      <c r="N167" s="39" t="n"/>
      <c r="O167" s="25" t="inlineStr">
        <is>
          <t>C</t>
        </is>
      </c>
      <c r="P167" s="25" t="inlineStr">
        <is>
          <t>L'asclépiade à Dragons' Den le 17 sept!</t>
        </is>
      </c>
      <c r="Q167" s="25" t="inlineStr">
        <is>
          <t>Bonjour Francis,</t>
        </is>
      </c>
      <c r="R167" s="25" t="inlineStr">
        <is>
          <t>DOUBLON : deja traite en liste chaude, ne pas envoyer</t>
        </is>
      </c>
      <c r="S167" s="46" t="inlineStr">
        <is>
          <t>Bonjour Francis,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l'agriculture. La question qui compte pour les producteurs n'a pas changé depuis la faillite du 11 octobre 2017 : est-ce qu'il y a un acheteur stable au bout du champ. On achète encore la récolte de producteurs d'ici et on la transforme nous-mêmes.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des volumes, de la fenêtre de récolte et de ce qui reste à régler côté mécanisation, sans rien promettre que je ne peux pas tenir.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8" ht="240" customHeight="1" s="26">
      <c r="A168" s="43" t="inlineStr">
        <is>
          <t>C</t>
        </is>
      </c>
      <c r="B168" s="36" t="inlineStr">
        <is>
          <t>Angelo</t>
        </is>
      </c>
      <c r="C168" s="36" t="inlineStr">
        <is>
          <t>JEAN-BAPTISTE</t>
        </is>
      </c>
      <c r="D168" s="37" t="inlineStr">
        <is>
          <t>JOURNALISTE , COMMENTATAIRE SPORTIF</t>
        </is>
      </c>
      <c r="E168" s="36" t="inlineStr">
        <is>
          <t>Pigiste</t>
        </is>
      </c>
      <c r="F168" s="36" t="inlineStr">
        <is>
          <t>iciangegoal@yahoo.ca</t>
        </is>
      </c>
      <c r="G168" s="36" t="inlineStr">
        <is>
          <t>5144421096</t>
        </is>
      </c>
      <c r="H168" s="36" t="inlineStr">
        <is>
          <t>Montréal</t>
        </is>
      </c>
      <c r="I168" s="37" t="inlineStr">
        <is>
          <t>Environnement</t>
        </is>
      </c>
      <c r="J168" s="36" t="n"/>
      <c r="K168" s="42" t="inlineStr">
        <is>
          <t>Ouvrir</t>
        </is>
      </c>
      <c r="L168" s="38" t="inlineStr">
        <is>
          <t>2026-09-16 12:04</t>
        </is>
      </c>
      <c r="M168" s="38" t="n"/>
      <c r="N168" s="39" t="n"/>
      <c r="O168" s="25" t="inlineStr">
        <is>
          <t>D</t>
        </is>
      </c>
      <c r="P168" s="25" t="inlineStr">
        <is>
          <t>L'asclépiade et les monarques à Dragons' Den!</t>
        </is>
      </c>
      <c r="Q168" s="25" t="inlineStr">
        <is>
          <t>Bonjour ANGELO,</t>
        </is>
      </c>
      <c r="R168" s="25" t="inlineStr">
        <is>
          <t>Adresse personnelle : individualiser vraiment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t>
        </is>
      </c>
      <c r="S168" s="46" t="inlineStr">
        <is>
          <t>Bonjour Angelo,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69" ht="240" customHeight="1" s="26">
      <c r="A169" s="43" t="inlineStr">
        <is>
          <t>C</t>
        </is>
      </c>
      <c r="B169" s="36" t="inlineStr">
        <is>
          <t>Andréanne</t>
        </is>
      </c>
      <c r="C169" s="36" t="inlineStr">
        <is>
          <t>Joly</t>
        </is>
      </c>
      <c r="D169" s="37" t="inlineStr">
        <is>
          <t>Journaliste, rédactrice</t>
        </is>
      </c>
      <c r="E169" s="36" t="inlineStr">
        <is>
          <t>Pigiste</t>
        </is>
      </c>
      <c r="F169" s="36" t="inlineStr">
        <is>
          <t>andreannejoly@gmail.com</t>
        </is>
      </c>
      <c r="G169" s="36" t="inlineStr">
        <is>
          <t>7053321359</t>
        </is>
      </c>
      <c r="H169" s="36" t="inlineStr">
        <is>
          <t>Ontario</t>
        </is>
      </c>
      <c r="I169" s="37" t="inlineStr">
        <is>
          <t>Consommation</t>
        </is>
      </c>
      <c r="J169" s="36" t="n"/>
      <c r="K169" s="42" t="inlineStr">
        <is>
          <t>Ouvrir</t>
        </is>
      </c>
      <c r="L169" s="38" t="inlineStr">
        <is>
          <t>2026-09-16 12:04</t>
        </is>
      </c>
      <c r="M169" s="38" t="n"/>
      <c r="N169" s="39" t="n"/>
      <c r="O169" s="25" t="inlineStr">
        <is>
          <t>G</t>
        </is>
      </c>
      <c r="P169" s="25" t="inlineStr">
        <is>
          <t>L'asclépiade à Dragons' Den!</t>
        </is>
      </c>
      <c r="Q169" s="25" t="inlineStr">
        <is>
          <t>Bonjour Andréanne,</t>
        </is>
      </c>
      <c r="R169" s="25" t="inlineStr">
        <is>
          <t>Adresse personnelle : individualiser vraiment</t>
        </is>
      </c>
      <c r="S169" s="46" t="inlineStr">
        <is>
          <t>Bonjour Andréanne,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0" ht="240" customHeight="1" s="26">
      <c r="A170" s="43" t="inlineStr">
        <is>
          <t>C</t>
        </is>
      </c>
      <c r="B170" s="36" t="inlineStr">
        <is>
          <t>Hugo</t>
        </is>
      </c>
      <c r="C170" s="36" t="inlineStr">
        <is>
          <t>Joncas</t>
        </is>
      </c>
      <c r="D170" s="37" t="inlineStr">
        <is>
          <t>Reporter</t>
        </is>
      </c>
      <c r="E170" s="36" t="inlineStr">
        <is>
          <t>La Presse</t>
        </is>
      </c>
      <c r="F170" s="36" t="inlineStr">
        <is>
          <t>hjoncas@lapresse.ca</t>
        </is>
      </c>
      <c r="G170" s="36" t="inlineStr">
        <is>
          <t>438-396-5546</t>
        </is>
      </c>
      <c r="H170" s="36" t="inlineStr">
        <is>
          <t>Montréal</t>
        </is>
      </c>
      <c r="I170" s="37" t="inlineStr">
        <is>
          <t>Économie</t>
        </is>
      </c>
      <c r="J170" s="36" t="n"/>
      <c r="K170" s="42" t="inlineStr">
        <is>
          <t>Ouvrir</t>
        </is>
      </c>
      <c r="L170" s="38" t="inlineStr">
        <is>
          <t>2026-09-16 12:05</t>
        </is>
      </c>
      <c r="M170" s="38" t="n"/>
      <c r="N170" s="39" t="n"/>
      <c r="O170" s="25" t="inlineStr">
        <is>
          <t>E</t>
        </is>
      </c>
      <c r="P170" s="25" t="inlineStr">
        <is>
          <t>L'asclépiade à Dragons' Den le 17 septembre!</t>
        </is>
      </c>
      <c r="Q170" s="25" t="inlineStr">
        <is>
          <t>Bonjour Hugo,</t>
        </is>
      </c>
      <c r="S170" s="46" t="inlineStr">
        <is>
          <t>Bonjour Hugo,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1" ht="240" customHeight="1" s="26">
      <c r="A171" s="43" t="inlineStr">
        <is>
          <t>C</t>
        </is>
      </c>
      <c r="B171" s="36" t="inlineStr">
        <is>
          <t>Philémon</t>
        </is>
      </c>
      <c r="C171" s="36" t="inlineStr">
        <is>
          <t>La Frenière-Prémont</t>
        </is>
      </c>
      <c r="D171" s="37" t="inlineStr">
        <is>
          <t>Journaliste à la recherche et pigiste</t>
        </is>
      </c>
      <c r="E171" s="36" t="inlineStr">
        <is>
          <t>Radio-Canada (Radio - Montréal)</t>
        </is>
      </c>
      <c r="F171" s="36" t="inlineStr">
        <is>
          <t>phlemonlpp@gmail.com</t>
        </is>
      </c>
      <c r="G171" s="36" t="inlineStr">
        <is>
          <t>438-391-6723</t>
        </is>
      </c>
      <c r="H171" s="36" t="inlineStr">
        <is>
          <t>Montréal</t>
        </is>
      </c>
      <c r="I171" s="37" t="inlineStr">
        <is>
          <t>Économie</t>
        </is>
      </c>
      <c r="J171" s="36" t="n"/>
      <c r="K171" s="42" t="inlineStr">
        <is>
          <t>Ouvrir</t>
        </is>
      </c>
      <c r="L171" s="38" t="inlineStr">
        <is>
          <t>2026-09-16 12:05</t>
        </is>
      </c>
      <c r="M171" s="38" t="n"/>
      <c r="N171" s="39" t="n"/>
      <c r="O171" s="25" t="inlineStr">
        <is>
          <t>I</t>
        </is>
      </c>
      <c r="P171" s="25" t="inlineStr">
        <is>
          <t>L'asclépiade à Dragons' Den le 17 septembre!</t>
        </is>
      </c>
      <c r="Q171" s="25" t="inlineStr">
        <is>
          <t>Bonjour Philémon,</t>
        </is>
      </c>
      <c r="R171" s="25" t="inlineStr">
        <is>
          <t>Adresse personnelle : individualiser vraiment</t>
        </is>
      </c>
      <c r="S171" s="46" t="inlineStr">
        <is>
          <t>Bonjour Philémon,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2" ht="240" customHeight="1" s="26">
      <c r="A172" s="43" t="inlineStr">
        <is>
          <t>C</t>
        </is>
      </c>
      <c r="B172" s="36" t="inlineStr">
        <is>
          <t>Henri</t>
        </is>
      </c>
      <c r="C172" s="36" t="inlineStr">
        <is>
          <t>Laban</t>
        </is>
      </c>
      <c r="D172" s="37" t="inlineStr">
        <is>
          <t>Journaliste - Animateur</t>
        </is>
      </c>
      <c r="E172" s="36" t="inlineStr">
        <is>
          <t>Radio VM Montréal</t>
        </is>
      </c>
      <c r="F172" s="36" t="inlineStr">
        <is>
          <t>hlaban2015@gmail.com</t>
        </is>
      </c>
      <c r="G172" s="36" t="inlineStr">
        <is>
          <t>514382-3913</t>
        </is>
      </c>
      <c r="H172" s="36" t="inlineStr">
        <is>
          <t>Montréal</t>
        </is>
      </c>
      <c r="I172" s="37" t="inlineStr">
        <is>
          <t>Sciences</t>
        </is>
      </c>
      <c r="J172" s="36" t="n"/>
      <c r="K172" s="42" t="inlineStr">
        <is>
          <t>Ouvrir</t>
        </is>
      </c>
      <c r="L172" s="38" t="inlineStr">
        <is>
          <t>2026-09-16 12:06</t>
        </is>
      </c>
      <c r="M172" s="38" t="n"/>
      <c r="N172" s="39" t="n"/>
      <c r="O172" s="25" t="inlineStr">
        <is>
          <t>I</t>
        </is>
      </c>
      <c r="P172" s="25" t="inlineStr">
        <is>
          <t>L'asclépiade à Dragons' Den le 17 septembre!</t>
        </is>
      </c>
      <c r="Q172" s="25" t="inlineStr">
        <is>
          <t>Bonjour Henri,</t>
        </is>
      </c>
      <c r="R172" s="25" t="inlineStr">
        <is>
          <t>Adresse personnelle : individualiser vraiment</t>
        </is>
      </c>
      <c r="S172" s="46" t="inlineStr">
        <is>
          <t>Bonjour Henri,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3" ht="240" customHeight="1" s="26">
      <c r="A173" s="43" t="inlineStr">
        <is>
          <t>C</t>
        </is>
      </c>
      <c r="B173" s="36" t="inlineStr">
        <is>
          <t>Annie</t>
        </is>
      </c>
      <c r="C173" s="36" t="inlineStr">
        <is>
          <t>Lafrance</t>
        </is>
      </c>
      <c r="D173" s="37" t="inlineStr">
        <is>
          <t>journaliste coordonnatrice section Affaires</t>
        </is>
      </c>
      <c r="E173" s="36" t="inlineStr">
        <is>
          <t>Le Soleil</t>
        </is>
      </c>
      <c r="F173" s="36" t="inlineStr">
        <is>
          <t>alafrance@lesoleil.com</t>
        </is>
      </c>
      <c r="G173" s="36" t="inlineStr">
        <is>
          <t>4188031830</t>
        </is>
      </c>
      <c r="H173" s="36" t="inlineStr">
        <is>
          <t>Capitale-Nationale/Chaudière-Appalaches</t>
        </is>
      </c>
      <c r="I173" s="37" t="inlineStr">
        <is>
          <t>Consommation; Économie</t>
        </is>
      </c>
      <c r="J173" s="43" t="inlineStr">
        <is>
          <t>Oui</t>
        </is>
      </c>
      <c r="K173" s="42" t="inlineStr">
        <is>
          <t>Ouvrir</t>
        </is>
      </c>
      <c r="L173" s="38" t="inlineStr">
        <is>
          <t>2026-09-16 10:18</t>
        </is>
      </c>
      <c r="M173" s="38" t="n"/>
      <c r="N173" s="39" t="n"/>
      <c r="O173" s="25" t="inlineStr">
        <is>
          <t>—</t>
        </is>
      </c>
      <c r="P173" s="25" t="inlineStr">
        <is>
          <t>L'asclépiade à Dragons' Den le 17 septembre!</t>
        </is>
      </c>
      <c r="Q173" s="25" t="inlineStr">
        <is>
          <t>Bonjour Annie,</t>
        </is>
      </c>
      <c r="R173" s="25" t="inlineStr">
        <is>
          <t>DOUBLON : deja traite en liste chaude, ne pas envoyer</t>
        </is>
      </c>
      <c r="S173" s="46" t="inlineStr">
        <is>
          <t>NE PAS ENVOYER, doublon de la liste chaude. Le message écrit à la main a préséance.</t>
        </is>
      </c>
    </row>
    <row r="174" ht="240" customHeight="1" s="26">
      <c r="A174" s="43" t="inlineStr">
        <is>
          <t>C</t>
        </is>
      </c>
      <c r="B174" s="36" t="inlineStr">
        <is>
          <t>Joannie</t>
        </is>
      </c>
      <c r="C174" s="36" t="inlineStr">
        <is>
          <t>Lafrenière</t>
        </is>
      </c>
      <c r="D174" s="37" t="inlineStr">
        <is>
          <t>photographe pigiste</t>
        </is>
      </c>
      <c r="E174" s="36" t="inlineStr">
        <is>
          <t>Pigiste</t>
        </is>
      </c>
      <c r="F174" s="36" t="inlineStr">
        <is>
          <t>joannie@jlafreniere.ca</t>
        </is>
      </c>
      <c r="G174" s="36" t="inlineStr">
        <is>
          <t>514-803-0604</t>
        </is>
      </c>
      <c r="H174" s="36" t="inlineStr">
        <is>
          <t>Montréal</t>
        </is>
      </c>
      <c r="I174" s="37" t="inlineStr">
        <is>
          <t>Art de vivre</t>
        </is>
      </c>
      <c r="J174" s="36" t="n"/>
      <c r="K174" s="42" t="inlineStr">
        <is>
          <t>Ouvrir</t>
        </is>
      </c>
      <c r="L174" s="38" t="inlineStr">
        <is>
          <t>2026-09-16 12:06</t>
        </is>
      </c>
      <c r="M174" s="38" t="n"/>
      <c r="N174" s="39" t="n"/>
      <c r="O174" s="25" t="inlineStr">
        <is>
          <t>G</t>
        </is>
      </c>
      <c r="P174" s="25" t="inlineStr">
        <is>
          <t>L'asclépiade à Dragons' Den!</t>
        </is>
      </c>
      <c r="Q174" s="25" t="inlineStr">
        <is>
          <t>Bonjour Joannie,</t>
        </is>
      </c>
      <c r="R174" s="25" t="inlineStr">
        <is>
          <t>Adresse personnelle : individualiser vraiment</t>
        </is>
      </c>
      <c r="S174" s="46" t="inlineStr">
        <is>
          <t>Bonjour Joannie,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5" ht="240" customHeight="1" s="26">
      <c r="A175" s="43" t="inlineStr">
        <is>
          <t>C</t>
        </is>
      </c>
      <c r="B175" s="36" t="inlineStr">
        <is>
          <t>Angie</t>
        </is>
      </c>
      <c r="C175" s="36" t="inlineStr">
        <is>
          <t>Landry</t>
        </is>
      </c>
      <c r="D175" s="37" t="inlineStr">
        <is>
          <t>Journaliste</t>
        </is>
      </c>
      <c r="E175" s="36" t="inlineStr">
        <is>
          <t>L'actualité</t>
        </is>
      </c>
      <c r="F175" s="36" t="inlineStr">
        <is>
          <t>angie.landry@lactualite.com</t>
        </is>
      </c>
      <c r="G175" s="36" t="n"/>
      <c r="H175" s="36" t="inlineStr">
        <is>
          <t>Montréal</t>
        </is>
      </c>
      <c r="I175" s="37" t="inlineStr">
        <is>
          <t>Environnement</t>
        </is>
      </c>
      <c r="J175" s="36" t="n"/>
      <c r="K175" s="42" t="inlineStr">
        <is>
          <t>Ouvrir</t>
        </is>
      </c>
      <c r="L175" s="38" t="inlineStr">
        <is>
          <t>2026-09-16 12:07</t>
        </is>
      </c>
      <c r="M175" s="38" t="n"/>
      <c r="N175" s="39" t="n"/>
      <c r="O175" s="25" t="inlineStr">
        <is>
          <t>D</t>
        </is>
      </c>
      <c r="P175" s="25" t="inlineStr">
        <is>
          <t>L'asclépiade et les monarques à Dragons' Den!</t>
        </is>
      </c>
      <c r="Q175" s="25" t="inlineStr">
        <is>
          <t>Bonjour Angie,</t>
        </is>
      </c>
      <c r="S175" s="46" t="inlineStr">
        <is>
          <t>Bonjour Angie,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6" ht="240" customHeight="1" s="26">
      <c r="A176" s="43" t="inlineStr">
        <is>
          <t>C</t>
        </is>
      </c>
      <c r="B176" s="36" t="inlineStr">
        <is>
          <t>Camille</t>
        </is>
      </c>
      <c r="C176" s="36" t="inlineStr">
        <is>
          <t>Langlade</t>
        </is>
      </c>
      <c r="D176" s="37" t="inlineStr">
        <is>
          <t>Journaliste, cheffe de pupitre</t>
        </is>
      </c>
      <c r="E176" s="36" t="inlineStr">
        <is>
          <t>Pigiste</t>
        </is>
      </c>
      <c r="F176" s="36" t="inlineStr">
        <is>
          <t>camille@francopresse.ca</t>
        </is>
      </c>
      <c r="G176" s="36" t="n"/>
      <c r="H176" s="36" t="inlineStr">
        <is>
          <t>Montréal</t>
        </is>
      </c>
      <c r="I176" s="37" t="inlineStr">
        <is>
          <t>Environnement</t>
        </is>
      </c>
      <c r="J176" s="36" t="n"/>
      <c r="K176" s="42" t="inlineStr">
        <is>
          <t>Ouvrir</t>
        </is>
      </c>
      <c r="L176" s="38" t="inlineStr">
        <is>
          <t>2026-09-16 12:07</t>
        </is>
      </c>
      <c r="M176" s="38" t="n"/>
      <c r="N176" s="39" t="n"/>
      <c r="O176" s="25" t="inlineStr">
        <is>
          <t>D</t>
        </is>
      </c>
      <c r="P176" s="25" t="inlineStr">
        <is>
          <t>L'asclépiade et les monarques à Dragons' Den!</t>
        </is>
      </c>
      <c r="Q176" s="25" t="inlineStr">
        <is>
          <t>Bonjour Camille,</t>
        </is>
      </c>
      <c r="R176" s="25" t="inlineStr">
        <is>
          <t>Adresse personnelle : individualiser vraiment</t>
        </is>
      </c>
      <c r="S176" s="46" t="inlineStr">
        <is>
          <t>Bonjour Camille,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7" ht="240" customHeight="1" s="26">
      <c r="A177" s="43" t="inlineStr">
        <is>
          <t>C</t>
        </is>
      </c>
      <c r="B177" s="36" t="inlineStr">
        <is>
          <t>Claudia</t>
        </is>
      </c>
      <c r="C177" s="36" t="inlineStr">
        <is>
          <t>Larochelle</t>
        </is>
      </c>
      <c r="D177" s="37" t="inlineStr">
        <is>
          <t>Journaliste - chroniqueuse - animatrice</t>
        </is>
      </c>
      <c r="E177" s="36" t="inlineStr">
        <is>
          <t>Radio-Canada (Montréal)</t>
        </is>
      </c>
      <c r="F177" s="36" t="inlineStr">
        <is>
          <t>clolarochelle@hotmail.com</t>
        </is>
      </c>
      <c r="G177" s="36" t="inlineStr">
        <is>
          <t>514-574-0570</t>
        </is>
      </c>
      <c r="H177" s="36" t="inlineStr">
        <is>
          <t>Montréal</t>
        </is>
      </c>
      <c r="I177" s="37" t="inlineStr">
        <is>
          <t>Art de vivre</t>
        </is>
      </c>
      <c r="J177" s="36" t="n"/>
      <c r="K177" s="42" t="inlineStr">
        <is>
          <t>Ouvrir</t>
        </is>
      </c>
      <c r="L177" s="38" t="inlineStr">
        <is>
          <t>2026-09-16 12:08</t>
        </is>
      </c>
      <c r="M177" s="38" t="n"/>
      <c r="N177" s="39" t="n"/>
      <c r="O177" s="25" t="inlineStr">
        <is>
          <t>I</t>
        </is>
      </c>
      <c r="P177" s="25" t="inlineStr">
        <is>
          <t>L'asclépiade à Dragons' Den le 17 septembre!</t>
        </is>
      </c>
      <c r="Q177" s="25" t="inlineStr">
        <is>
          <t>Bonjour Claudia,</t>
        </is>
      </c>
      <c r="R177" s="25" t="inlineStr">
        <is>
          <t>Adresse personnelle : individualiser vraiment</t>
        </is>
      </c>
      <c r="S177" s="46" t="inlineStr">
        <is>
          <t>Bonjour Claudia,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8" ht="240" customHeight="1" s="26">
      <c r="A178" s="43" t="inlineStr">
        <is>
          <t>C</t>
        </is>
      </c>
      <c r="B178" s="36" t="inlineStr">
        <is>
          <t>Étienne</t>
        </is>
      </c>
      <c r="C178" s="36" t="inlineStr">
        <is>
          <t>Leblanc</t>
        </is>
      </c>
      <c r="D178" s="37" t="inlineStr">
        <is>
          <t>Journaliste spécialisé en environnement</t>
        </is>
      </c>
      <c r="E178" s="36" t="inlineStr">
        <is>
          <t>Radio-Canada (Montréal)</t>
        </is>
      </c>
      <c r="F178" s="36" t="inlineStr">
        <is>
          <t>etienne.leblanc@radio-canada.ca</t>
        </is>
      </c>
      <c r="G178" s="36" t="inlineStr">
        <is>
          <t>514 597-4019</t>
        </is>
      </c>
      <c r="H178" s="36" t="inlineStr">
        <is>
          <t>Montréal</t>
        </is>
      </c>
      <c r="I178" s="37" t="inlineStr">
        <is>
          <t>Environnement</t>
        </is>
      </c>
      <c r="J178" s="36" t="n"/>
      <c r="K178" s="42" t="inlineStr">
        <is>
          <t>Ouvrir</t>
        </is>
      </c>
      <c r="L178" s="38" t="inlineStr">
        <is>
          <t>2026-09-16 12:08</t>
        </is>
      </c>
      <c r="M178" s="38" t="n"/>
      <c r="N178" s="39" t="n"/>
      <c r="O178" s="25" t="inlineStr">
        <is>
          <t>D</t>
        </is>
      </c>
      <c r="P178" s="25" t="inlineStr">
        <is>
          <t>L'asclépiade et les monarques à Dragons' Den!</t>
        </is>
      </c>
      <c r="Q178" s="25" t="inlineStr">
        <is>
          <t>Bonjour Étienne,</t>
        </is>
      </c>
      <c r="S178" s="46" t="inlineStr">
        <is>
          <t>Bonjour Étienne,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79" ht="240" customHeight="1" s="26">
      <c r="A179" s="43" t="inlineStr">
        <is>
          <t>C</t>
        </is>
      </c>
      <c r="B179" s="36" t="inlineStr">
        <is>
          <t>Louise</t>
        </is>
      </c>
      <c r="C179" s="36" t="inlineStr">
        <is>
          <t>Leduc</t>
        </is>
      </c>
      <c r="D179" s="37" t="inlineStr">
        <is>
          <t>Reporter</t>
        </is>
      </c>
      <c r="E179" s="36" t="inlineStr">
        <is>
          <t>La Presse</t>
        </is>
      </c>
      <c r="F179" s="36" t="inlineStr">
        <is>
          <t>lleduc@lapresse.ca</t>
        </is>
      </c>
      <c r="G179" s="36" t="inlineStr">
        <is>
          <t>514-973-0748</t>
        </is>
      </c>
      <c r="H179" s="36" t="inlineStr">
        <is>
          <t>Montréal</t>
        </is>
      </c>
      <c r="I179" s="37" t="inlineStr">
        <is>
          <t>Art de vivre</t>
        </is>
      </c>
      <c r="J179" s="36" t="n"/>
      <c r="K179" s="42" t="inlineStr">
        <is>
          <t>Ouvrir</t>
        </is>
      </c>
      <c r="L179" s="38" t="inlineStr">
        <is>
          <t>2026-09-16 12:09</t>
        </is>
      </c>
      <c r="M179" s="38" t="n"/>
      <c r="N179" s="39" t="n"/>
      <c r="O179" s="25" t="inlineStr">
        <is>
          <t>G</t>
        </is>
      </c>
      <c r="P179" s="25" t="inlineStr">
        <is>
          <t>L'asclépiade à Dragons' Den!</t>
        </is>
      </c>
      <c r="Q179" s="25" t="inlineStr">
        <is>
          <t>Bonjour Louise,</t>
        </is>
      </c>
      <c r="S179" s="46" t="inlineStr">
        <is>
          <t>Bonjour Louise,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0" ht="240" customHeight="1" s="26">
      <c r="A180" s="43" t="inlineStr">
        <is>
          <t>C</t>
        </is>
      </c>
      <c r="B180" s="36" t="inlineStr">
        <is>
          <t>Guillaume</t>
        </is>
      </c>
      <c r="C180" s="36" t="inlineStr">
        <is>
          <t>Longuépée</t>
        </is>
      </c>
      <c r="D180" s="37" t="inlineStr">
        <is>
          <t>Journaliste</t>
        </is>
      </c>
      <c r="E180" s="36" t="inlineStr">
        <is>
          <t>Pigiste</t>
        </is>
      </c>
      <c r="F180" s="36" t="inlineStr">
        <is>
          <t>longuepeeguillaume04@gmail.com</t>
        </is>
      </c>
      <c r="G180" s="36" t="n"/>
      <c r="H180" s="36" t="inlineStr">
        <is>
          <t>Montréal</t>
        </is>
      </c>
      <c r="I180" s="37" t="inlineStr">
        <is>
          <t>Économie</t>
        </is>
      </c>
      <c r="J180" s="36" t="n"/>
      <c r="K180" s="42" t="inlineStr">
        <is>
          <t>Ouvrir</t>
        </is>
      </c>
      <c r="L180" s="38" t="inlineStr">
        <is>
          <t>2026-09-16 12:09</t>
        </is>
      </c>
      <c r="M180" s="38" t="n"/>
      <c r="N180" s="39" t="n"/>
      <c r="O180" s="25" t="inlineStr">
        <is>
          <t>E</t>
        </is>
      </c>
      <c r="P180" s="25" t="inlineStr">
        <is>
          <t>L'asclépiade à Dragons' Den le 17 septembre!</t>
        </is>
      </c>
      <c r="Q180" s="25" t="inlineStr">
        <is>
          <t>Bonjour Guillaume,</t>
        </is>
      </c>
      <c r="R180" s="25" t="inlineStr">
        <is>
          <t>Adresse personnelle : individualiser vraiment</t>
        </is>
      </c>
      <c r="S180" s="46" t="inlineStr">
        <is>
          <t>Bonjour Guillaume,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1" ht="240" customHeight="1" s="26">
      <c r="A181" s="43" t="inlineStr">
        <is>
          <t>C</t>
        </is>
      </c>
      <c r="B181" s="36" t="inlineStr">
        <is>
          <t>Roxane</t>
        </is>
      </c>
      <c r="C181" s="36" t="inlineStr">
        <is>
          <t>Léouzon</t>
        </is>
      </c>
      <c r="D181" s="37" t="inlineStr">
        <is>
          <t>Journaliste</t>
        </is>
      </c>
      <c r="E181" s="36" t="inlineStr">
        <is>
          <t>Le Devoir</t>
        </is>
      </c>
      <c r="F181" s="36" t="inlineStr">
        <is>
          <t>rleouzon@ledevoir.com</t>
        </is>
      </c>
      <c r="G181" s="36" t="inlineStr">
        <is>
          <t>514 985-3333</t>
        </is>
      </c>
      <c r="H181" s="36" t="inlineStr">
        <is>
          <t>Montréal</t>
        </is>
      </c>
      <c r="I181" s="37" t="inlineStr">
        <is>
          <t>Économie</t>
        </is>
      </c>
      <c r="J181" s="36" t="n"/>
      <c r="K181" s="42" t="inlineStr">
        <is>
          <t>Ouvrir</t>
        </is>
      </c>
      <c r="L181" s="38" t="inlineStr">
        <is>
          <t>2026-09-16 12:10</t>
        </is>
      </c>
      <c r="M181" s="38" t="n"/>
      <c r="N181" s="39" t="n"/>
      <c r="O181" s="25" t="inlineStr">
        <is>
          <t>E</t>
        </is>
      </c>
      <c r="P181" s="25" t="inlineStr">
        <is>
          <t>L'asclépiade à Dragons' Den le 17 septembre!</t>
        </is>
      </c>
      <c r="Q181" s="25" t="inlineStr">
        <is>
          <t>Bonjour Roxane,</t>
        </is>
      </c>
      <c r="S181" s="46" t="inlineStr">
        <is>
          <t>Bonjour Roxane,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2" ht="240" customHeight="1" s="26">
      <c r="A182" s="43" t="inlineStr">
        <is>
          <t>C</t>
        </is>
      </c>
      <c r="B182" s="36" t="inlineStr">
        <is>
          <t>Ève</t>
        </is>
      </c>
      <c r="C182" s="36" t="inlineStr">
        <is>
          <t>Lévesque</t>
        </is>
      </c>
      <c r="D182" s="37" t="inlineStr">
        <is>
          <t>Recherchiste indépendante, journaliste et productrice</t>
        </is>
      </c>
      <c r="E182" s="36" t="inlineStr">
        <is>
          <t>Pigiste</t>
        </is>
      </c>
      <c r="F182" s="36" t="inlineStr">
        <is>
          <t>levesque.eve@outlook.com</t>
        </is>
      </c>
      <c r="G182" s="36" t="n"/>
      <c r="H182" s="36" t="inlineStr">
        <is>
          <t>Montréal</t>
        </is>
      </c>
      <c r="I182" s="37" t="inlineStr">
        <is>
          <t>Consommation</t>
        </is>
      </c>
      <c r="J182" s="36" t="n"/>
      <c r="K182" s="42" t="inlineStr">
        <is>
          <t>Ouvrir</t>
        </is>
      </c>
      <c r="L182" s="38" t="inlineStr">
        <is>
          <t>2026-09-16 12:11</t>
        </is>
      </c>
      <c r="M182" s="38" t="n"/>
      <c r="N182" s="39" t="n"/>
      <c r="O182" s="25" t="inlineStr">
        <is>
          <t>I</t>
        </is>
      </c>
      <c r="P182" s="25" t="inlineStr">
        <is>
          <t>L'asclépiade à Dragons' Den le 17 septembre!</t>
        </is>
      </c>
      <c r="Q182" s="25" t="inlineStr">
        <is>
          <t>Bonjour Ève,</t>
        </is>
      </c>
      <c r="R182" s="25" t="inlineStr">
        <is>
          <t>Adresse personnelle : individualiser vraiment</t>
        </is>
      </c>
      <c r="S182" s="46" t="inlineStr">
        <is>
          <t>Bonjour Ève,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3" ht="240" customHeight="1" s="26">
      <c r="A183" s="43" t="inlineStr">
        <is>
          <t>C</t>
        </is>
      </c>
      <c r="B183" s="36" t="inlineStr">
        <is>
          <t>Sophie</t>
        </is>
      </c>
      <c r="C183" s="36" t="inlineStr">
        <is>
          <t>Mangado</t>
        </is>
      </c>
      <c r="D183" s="37" t="inlineStr">
        <is>
          <t>Journaliste, recherchiste</t>
        </is>
      </c>
      <c r="E183" s="36" t="inlineStr">
        <is>
          <t>Pigiste</t>
        </is>
      </c>
      <c r="F183" s="36" t="inlineStr">
        <is>
          <t>sophie.mangado@gmail.com</t>
        </is>
      </c>
      <c r="G183" s="36" t="n"/>
      <c r="H183" s="36" t="inlineStr">
        <is>
          <t>Montréal</t>
        </is>
      </c>
      <c r="I183" s="37" t="inlineStr">
        <is>
          <t>Sciences</t>
        </is>
      </c>
      <c r="J183" s="36" t="n"/>
      <c r="K183" s="42" t="inlineStr">
        <is>
          <t>Ouvrir</t>
        </is>
      </c>
      <c r="L183" s="38" t="inlineStr">
        <is>
          <t>2026-09-16 12:11</t>
        </is>
      </c>
      <c r="M183" s="38" t="n"/>
      <c r="N183" s="39" t="n"/>
      <c r="O183" s="25" t="inlineStr">
        <is>
          <t>I</t>
        </is>
      </c>
      <c r="P183" s="25" t="inlineStr">
        <is>
          <t>L'asclépiade à Dragons' Den le 17 septembre!</t>
        </is>
      </c>
      <c r="Q183" s="25" t="inlineStr">
        <is>
          <t>Bonjour Sophie,</t>
        </is>
      </c>
      <c r="R183" s="25" t="inlineStr">
        <is>
          <t>Adresse personnelle : individualiser vraiment</t>
        </is>
      </c>
      <c r="S183" s="46" t="inlineStr">
        <is>
          <t>Bonjour Sophie,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4" ht="240" customHeight="1" s="26">
      <c r="A184" s="43" t="inlineStr">
        <is>
          <t>C</t>
        </is>
      </c>
      <c r="B184" s="36" t="inlineStr">
        <is>
          <t>Colin</t>
        </is>
      </c>
      <c r="C184" s="36" t="inlineStr">
        <is>
          <t>McGregor</t>
        </is>
      </c>
      <c r="D184" s="37" t="inlineStr">
        <is>
          <t>journaliste et traducteur</t>
        </is>
      </c>
      <c r="E184" s="36" t="inlineStr">
        <is>
          <t>Pigiste</t>
        </is>
      </c>
      <c r="F184" s="36" t="inlineStr">
        <is>
          <t>colin.mcgregor@tse2015.ca</t>
        </is>
      </c>
      <c r="G184" s="36" t="inlineStr">
        <is>
          <t>514-256-9000</t>
        </is>
      </c>
      <c r="H184" s="36" t="inlineStr">
        <is>
          <t>Montréal</t>
        </is>
      </c>
      <c r="I184" s="37" t="inlineStr">
        <is>
          <t>Environnement</t>
        </is>
      </c>
      <c r="J184" s="36" t="n"/>
      <c r="K184" s="42" t="inlineStr">
        <is>
          <t>Ouvrir</t>
        </is>
      </c>
      <c r="L184" s="38" t="inlineStr">
        <is>
          <t>2026-09-16 12:12</t>
        </is>
      </c>
      <c r="M184" s="38" t="n"/>
      <c r="N184" s="39" t="n"/>
      <c r="O184" s="25" t="inlineStr">
        <is>
          <t>D</t>
        </is>
      </c>
      <c r="P184" s="25" t="inlineStr">
        <is>
          <t>L'asclépiade et les monarques à Dragons' Den!</t>
        </is>
      </c>
      <c r="Q184" s="25" t="inlineStr">
        <is>
          <t>Bonjour Colin,</t>
        </is>
      </c>
      <c r="R184" s="25" t="inlineStr">
        <is>
          <t>Adresse personnelle : individualiser vraiment</t>
        </is>
      </c>
      <c r="S184" s="46" t="inlineStr">
        <is>
          <t>Bonjour Colin,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5" ht="240" customHeight="1" s="26">
      <c r="A185" s="43" t="inlineStr">
        <is>
          <t>C</t>
        </is>
      </c>
      <c r="B185" s="36" t="inlineStr">
        <is>
          <t>Isabelle</t>
        </is>
      </c>
      <c r="C185" s="36" t="inlineStr">
        <is>
          <t>Morin</t>
        </is>
      </c>
      <c r="D185" s="37" t="inlineStr">
        <is>
          <t>Reporter</t>
        </is>
      </c>
      <c r="E185" s="36" t="inlineStr">
        <is>
          <t>La Presse</t>
        </is>
      </c>
      <c r="F185" s="36" t="inlineStr">
        <is>
          <t>imorin@lapresse.ca</t>
        </is>
      </c>
      <c r="G185" s="36" t="inlineStr">
        <is>
          <t>514 285-7000, #7145</t>
        </is>
      </c>
      <c r="H185" s="36" t="inlineStr">
        <is>
          <t>Montréal</t>
        </is>
      </c>
      <c r="I185" s="37" t="inlineStr">
        <is>
          <t>Art de vivre</t>
        </is>
      </c>
      <c r="J185" s="36" t="n"/>
      <c r="K185" s="42" t="inlineStr">
        <is>
          <t>Ouvrir</t>
        </is>
      </c>
      <c r="L185" s="38" t="inlineStr">
        <is>
          <t>2026-09-16 12:12</t>
        </is>
      </c>
      <c r="M185" s="38" t="n"/>
      <c r="N185" s="39" t="n"/>
      <c r="O185" s="25" t="inlineStr">
        <is>
          <t>G</t>
        </is>
      </c>
      <c r="P185" s="25" t="inlineStr">
        <is>
          <t>L'asclépiade à Dragons' Den!</t>
        </is>
      </c>
      <c r="Q185" s="25" t="inlineStr">
        <is>
          <t>Bonjour Isabelle,</t>
        </is>
      </c>
      <c r="S185" s="46" t="inlineStr">
        <is>
          <t>Bonjour Isabelle,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6" ht="240" customHeight="1" s="26">
      <c r="A186" s="43" t="inlineStr">
        <is>
          <t>C</t>
        </is>
      </c>
      <c r="B186" s="36" t="inlineStr">
        <is>
          <t>Timothy</t>
        </is>
      </c>
      <c r="C186" s="36" t="inlineStr">
        <is>
          <t>Morson</t>
        </is>
      </c>
      <c r="D186" s="37" t="inlineStr">
        <is>
          <t>Journaliste</t>
        </is>
      </c>
      <c r="E186" s="36" t="inlineStr">
        <is>
          <t>Pigiste</t>
        </is>
      </c>
      <c r="F186" s="36" t="inlineStr">
        <is>
          <t>tim.morson@videotron.ca</t>
        </is>
      </c>
      <c r="G186" s="36" t="inlineStr">
        <is>
          <t>5148278174</t>
        </is>
      </c>
      <c r="H186" s="36" t="inlineStr">
        <is>
          <t>Centre-du-Québec</t>
        </is>
      </c>
      <c r="I186" s="37" t="inlineStr">
        <is>
          <t>Économie</t>
        </is>
      </c>
      <c r="J186" s="36" t="n"/>
      <c r="K186" s="42" t="inlineStr">
        <is>
          <t>Ouvrir</t>
        </is>
      </c>
      <c r="L186" s="38" t="inlineStr">
        <is>
          <t>2026-09-16 12:13</t>
        </is>
      </c>
      <c r="M186" s="38" t="n"/>
      <c r="N186" s="39" t="n"/>
      <c r="O186" s="25" t="inlineStr">
        <is>
          <t>E</t>
        </is>
      </c>
      <c r="P186" s="25" t="inlineStr">
        <is>
          <t>L'asclépiade du Centre-du-Québec à Dragons' Den!</t>
        </is>
      </c>
      <c r="Q186" s="25" t="inlineStr">
        <is>
          <t>Bonjour Timothy,</t>
        </is>
      </c>
      <c r="R186" s="25" t="inlineStr">
        <is>
          <t>Adresse personnelle : individualiser vraiment</t>
        </is>
      </c>
      <c r="S186" s="46" t="inlineStr">
        <is>
          <t>Bonjour Timothy,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se cultive chez vous depuis la première vague de 2013, celle de la Coopérative Monark et de ses 125 producteurs. Plusieurs de ceux qui ont tenu bon après [la faillite d'octobre 2017](https://ici.radio-canada.ca/nouvelle/1061543/asclepiade-soyer-producteurs-industries-encore3-faillite-monark)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7" ht="240" customHeight="1" s="26">
      <c r="A187" s="43" t="inlineStr">
        <is>
          <t>C</t>
        </is>
      </c>
      <c r="B187" s="36" t="inlineStr">
        <is>
          <t>Rachid</t>
        </is>
      </c>
      <c r="C187" s="36" t="inlineStr">
        <is>
          <t>Najahi</t>
        </is>
      </c>
      <c r="D187" s="37" t="inlineStr">
        <is>
          <t>Journaliste</t>
        </is>
      </c>
      <c r="E187" s="36" t="inlineStr">
        <is>
          <t>Groupe Atlas Média</t>
        </is>
      </c>
      <c r="F187" s="36" t="inlineStr">
        <is>
          <t>rachid.najahi@gmail.com</t>
        </is>
      </c>
      <c r="G187" s="36" t="inlineStr">
        <is>
          <t>5149628527</t>
        </is>
      </c>
      <c r="H187" s="36" t="inlineStr">
        <is>
          <t>Montréal</t>
        </is>
      </c>
      <c r="I187" s="37" t="inlineStr">
        <is>
          <t>Consommation</t>
        </is>
      </c>
      <c r="J187" s="36" t="n"/>
      <c r="K187" s="42" t="inlineStr">
        <is>
          <t>Ouvrir</t>
        </is>
      </c>
      <c r="L187" s="38" t="inlineStr">
        <is>
          <t>2026-09-16 12:13</t>
        </is>
      </c>
      <c r="M187" s="38" t="n"/>
      <c r="N187" s="39" t="n"/>
      <c r="O187" s="25" t="inlineStr">
        <is>
          <t>G</t>
        </is>
      </c>
      <c r="P187" s="25" t="inlineStr">
        <is>
          <t>L'asclépiade à Dragons' Den!</t>
        </is>
      </c>
      <c r="Q187" s="25" t="inlineStr">
        <is>
          <t>Bonjour Rachid,</t>
        </is>
      </c>
      <c r="R187" s="25" t="inlineStr">
        <is>
          <t>Adresse personnelle : individualiser vraiment</t>
        </is>
      </c>
      <c r="S187" s="46" t="inlineStr">
        <is>
          <t>Bonjour Rachid,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8" ht="240" customHeight="1" s="26">
      <c r="A188" s="43" t="inlineStr">
        <is>
          <t>C</t>
        </is>
      </c>
      <c r="B188" s="36" t="inlineStr">
        <is>
          <t>Richard</t>
        </is>
      </c>
      <c r="C188" s="36" t="inlineStr">
        <is>
          <t>Olivier</t>
        </is>
      </c>
      <c r="D188" s="37" t="inlineStr">
        <is>
          <t>Journaliste</t>
        </is>
      </c>
      <c r="E188" s="36" t="inlineStr">
        <is>
          <t>TVA Nouvelles</t>
        </is>
      </c>
      <c r="F188" s="36" t="inlineStr">
        <is>
          <t>richard.olivier@outlook.com</t>
        </is>
      </c>
      <c r="G188" s="36" t="n"/>
      <c r="H188" s="36" t="inlineStr">
        <is>
          <t>Montréal</t>
        </is>
      </c>
      <c r="I188" s="37" t="inlineStr">
        <is>
          <t>Consommation</t>
        </is>
      </c>
      <c r="J188" s="36" t="n"/>
      <c r="K188" s="42" t="inlineStr">
        <is>
          <t>Ouvrir</t>
        </is>
      </c>
      <c r="L188" s="38" t="inlineStr">
        <is>
          <t>2026-09-16 12:14</t>
        </is>
      </c>
      <c r="M188" s="38" t="n"/>
      <c r="N188" s="39" t="n"/>
      <c r="O188" s="25" t="inlineStr">
        <is>
          <t>I</t>
        </is>
      </c>
      <c r="P188" s="25" t="inlineStr">
        <is>
          <t>L'asclépiade à Dragons' Den le 17 septembre!</t>
        </is>
      </c>
      <c r="Q188" s="25" t="inlineStr">
        <is>
          <t>Bonjour Richard,</t>
        </is>
      </c>
      <c r="R188" s="25" t="inlineStr">
        <is>
          <t>Adresse personnelle : individualiser vraiment</t>
        </is>
      </c>
      <c r="S188" s="46" t="inlineStr">
        <is>
          <t>Bonjour Richard,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89" ht="240" customHeight="1" s="26">
      <c r="A189" s="43" t="inlineStr">
        <is>
          <t>C</t>
        </is>
      </c>
      <c r="B189" s="36" t="inlineStr">
        <is>
          <t>Melissa</t>
        </is>
      </c>
      <c r="C189" s="36" t="inlineStr">
        <is>
          <t>PELLETIER</t>
        </is>
      </c>
      <c r="D189" s="37" t="inlineStr">
        <is>
          <t>Journaliste à la recherche</t>
        </is>
      </c>
      <c r="E189" s="36" t="inlineStr">
        <is>
          <t>Radio-Canada</t>
        </is>
      </c>
      <c r="F189" s="36" t="inlineStr">
        <is>
          <t>melissa.pelletier@radio-canada.ca</t>
        </is>
      </c>
      <c r="G189" s="36" t="inlineStr">
        <is>
          <t>5145976980</t>
        </is>
      </c>
      <c r="H189" s="36" t="inlineStr">
        <is>
          <t>Montérégie</t>
        </is>
      </c>
      <c r="I189" s="37" t="inlineStr">
        <is>
          <t>Consommation</t>
        </is>
      </c>
      <c r="J189" s="36" t="n"/>
      <c r="K189" s="42" t="inlineStr">
        <is>
          <t>Ouvrir</t>
        </is>
      </c>
      <c r="L189" s="38" t="inlineStr">
        <is>
          <t>2026-09-16 12:14</t>
        </is>
      </c>
      <c r="M189" s="38" t="n"/>
      <c r="N189" s="39" t="n"/>
      <c r="O189" s="25" t="inlineStr">
        <is>
          <t>B</t>
        </is>
      </c>
      <c r="P189" s="25" t="inlineStr">
        <is>
          <t>L'asclépiade de la Montérégie à Dragons' Den!</t>
        </is>
      </c>
      <c r="Q189" s="25" t="inlineStr">
        <is>
          <t>Bonjour MELISSA,</t>
        </is>
      </c>
      <c r="R189" s="25" t="inlineStr">
        <is>
          <t>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 | Salutation à vérifier : la fiche FPJQ est mal formée</t>
        </is>
      </c>
      <c r="S189" s="46" t="inlineStr">
        <is>
          <t>Bonjour Melissa,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0" ht="240" customHeight="1" s="26">
      <c r="A190" s="43" t="inlineStr">
        <is>
          <t>C</t>
        </is>
      </c>
      <c r="B190" s="36" t="inlineStr">
        <is>
          <t>Isaac</t>
        </is>
      </c>
      <c r="C190" s="36" t="inlineStr">
        <is>
          <t>Peltz</t>
        </is>
      </c>
      <c r="D190" s="37" t="inlineStr">
        <is>
          <t>Journaliste, Photographe de presse</t>
        </is>
      </c>
      <c r="E190" s="36" t="inlineStr">
        <is>
          <t>Pivot</t>
        </is>
      </c>
      <c r="F190" s="36" t="inlineStr">
        <is>
          <t>isaacapeltz@protonmail.com</t>
        </is>
      </c>
      <c r="G190" s="36" t="inlineStr">
        <is>
          <t>6043395583</t>
        </is>
      </c>
      <c r="H190" s="36" t="inlineStr">
        <is>
          <t>Centre-du-Québec</t>
        </is>
      </c>
      <c r="I190" s="37" t="inlineStr">
        <is>
          <t>Économie</t>
        </is>
      </c>
      <c r="J190" s="36" t="n"/>
      <c r="K190" s="42" t="inlineStr">
        <is>
          <t>Ouvrir</t>
        </is>
      </c>
      <c r="L190" s="38" t="inlineStr">
        <is>
          <t>2026-09-16 12:15</t>
        </is>
      </c>
      <c r="M190" s="38" t="n"/>
      <c r="N190" s="39" t="n"/>
      <c r="O190" s="25" t="inlineStr">
        <is>
          <t>B</t>
        </is>
      </c>
      <c r="P190" s="25" t="inlineStr">
        <is>
          <t>L'asclépiade du Centre-du-Québec à Dragons' Den!</t>
        </is>
      </c>
      <c r="Q190" s="25" t="inlineStr">
        <is>
          <t>Bonjour Isaac,</t>
        </is>
      </c>
      <c r="S190" s="46" t="inlineStr">
        <is>
          <t>Bonjour Isaac,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se cultive chez vous depuis la première vague de 2013, celle de la Coopérative Monark et de ses 125 producteurs. Plusieurs de ceux qui ont tenu bon après [la faillite d'octobre 2017](https://ici.radio-canada.ca/nouvelle/1061543/asclepiade-soyer-producteurs-industries-encore3-faillite-monark)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1" ht="240" customHeight="1" s="26">
      <c r="A191" s="43" t="inlineStr">
        <is>
          <t>C</t>
        </is>
      </c>
      <c r="B191" s="36" t="inlineStr">
        <is>
          <t>Frédéric</t>
        </is>
      </c>
      <c r="C191" s="36" t="inlineStr">
        <is>
          <t>Perron</t>
        </is>
      </c>
      <c r="D191" s="37" t="inlineStr">
        <is>
          <t>Rédacteur en chef</t>
        </is>
      </c>
      <c r="E191" s="36" t="inlineStr">
        <is>
          <t>Protégez-Vous</t>
        </is>
      </c>
      <c r="F191" s="36" t="inlineStr">
        <is>
          <t>fperron@protegez-vous.ca</t>
        </is>
      </c>
      <c r="G191" s="36" t="inlineStr">
        <is>
          <t>514 461-3000 #121</t>
        </is>
      </c>
      <c r="H191" s="36" t="inlineStr">
        <is>
          <t>Montréal</t>
        </is>
      </c>
      <c r="I191" s="37" t="inlineStr">
        <is>
          <t>Consommation</t>
        </is>
      </c>
      <c r="J191" s="36" t="n"/>
      <c r="K191" s="42" t="inlineStr">
        <is>
          <t>Ouvrir</t>
        </is>
      </c>
      <c r="L191" s="38" t="inlineStr">
        <is>
          <t>2026-09-16 12:15</t>
        </is>
      </c>
      <c r="M191" s="38" t="n"/>
      <c r="N191" s="39" t="n"/>
      <c r="O191" s="25" t="inlineStr">
        <is>
          <t>G</t>
        </is>
      </c>
      <c r="P191" s="25" t="inlineStr">
        <is>
          <t>L'asclépiade à Dragons' Den!</t>
        </is>
      </c>
      <c r="Q191" s="25" t="inlineStr">
        <is>
          <t>Bonjour Frédéric,</t>
        </is>
      </c>
      <c r="S191" s="46" t="inlineStr">
        <is>
          <t>Bonjour Frédéric,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2" ht="240" customHeight="1" s="26">
      <c r="A192" s="43" t="inlineStr">
        <is>
          <t>C</t>
        </is>
      </c>
      <c r="B192" s="36" t="inlineStr">
        <is>
          <t>Nathalie</t>
        </is>
      </c>
      <c r="C192" s="36" t="inlineStr">
        <is>
          <t>Petrowski</t>
        </is>
      </c>
      <c r="D192" s="37" t="inlineStr">
        <is>
          <t>Chroniqueuse - commentatrice</t>
        </is>
      </c>
      <c r="E192" s="36" t="inlineStr">
        <is>
          <t>Radio-Canada (Radio - Montréal)</t>
        </is>
      </c>
      <c r="F192" s="36" t="inlineStr">
        <is>
          <t>lacombem3@videotron.ca</t>
        </is>
      </c>
      <c r="G192" s="36" t="inlineStr">
        <is>
          <t>5148133110</t>
        </is>
      </c>
      <c r="H192" s="36" t="inlineStr">
        <is>
          <t>Montréal</t>
        </is>
      </c>
      <c r="I192" s="37" t="inlineStr">
        <is>
          <t>Art de vivre</t>
        </is>
      </c>
      <c r="J192" s="36" t="n"/>
      <c r="K192" s="42" t="inlineStr">
        <is>
          <t>Ouvrir</t>
        </is>
      </c>
      <c r="L192" s="38" t="inlineStr">
        <is>
          <t>2026-09-16 12:16</t>
        </is>
      </c>
      <c r="M192" s="38" t="n"/>
      <c r="N192" s="39" t="n"/>
      <c r="O192" s="25" t="inlineStr">
        <is>
          <t>I</t>
        </is>
      </c>
      <c r="P192" s="25" t="inlineStr">
        <is>
          <t>L'asclépiade à Dragons' Den le 17 septembre!</t>
        </is>
      </c>
      <c r="Q192" s="25" t="inlineStr">
        <is>
          <t>Bonjour Nathalie,</t>
        </is>
      </c>
      <c r="R192" s="25" t="inlineStr">
        <is>
          <t>Adresse personnelle : individualiser vraiment</t>
        </is>
      </c>
      <c r="S192" s="46" t="inlineStr">
        <is>
          <t>Bonjour Nathalie,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3" ht="240" customHeight="1" s="26">
      <c r="A193" s="43" t="inlineStr">
        <is>
          <t>C</t>
        </is>
      </c>
      <c r="B193" s="36" t="inlineStr">
        <is>
          <t>Francis</t>
        </is>
      </c>
      <c r="C193" s="36" t="inlineStr">
        <is>
          <t>Plourde</t>
        </is>
      </c>
      <c r="D193" s="37" t="inlineStr">
        <is>
          <t>Journaliste</t>
        </is>
      </c>
      <c r="E193" s="36" t="inlineStr">
        <is>
          <t>Radio-Canada</t>
        </is>
      </c>
      <c r="F193" s="36" t="inlineStr">
        <is>
          <t>francis.plourde@radio-canada.ca</t>
        </is>
      </c>
      <c r="G193" s="36" t="inlineStr">
        <is>
          <t>236-330-4894</t>
        </is>
      </c>
      <c r="H193" s="36" t="inlineStr">
        <is>
          <t>Canada anglais</t>
        </is>
      </c>
      <c r="I193" s="37" t="inlineStr">
        <is>
          <t>Environnement</t>
        </is>
      </c>
      <c r="J193" s="36" t="n"/>
      <c r="K193" s="42" t="inlineStr">
        <is>
          <t>Ouvrir</t>
        </is>
      </c>
      <c r="L193" s="38" t="inlineStr">
        <is>
          <t>2026-09-16 12:16</t>
        </is>
      </c>
      <c r="M193" s="38" t="n"/>
      <c r="N193" s="39" t="n"/>
      <c r="O193" s="25" t="inlineStr">
        <is>
          <t>B</t>
        </is>
      </c>
      <c r="P193" s="25" t="inlineStr">
        <is>
          <t>L'asclépiade à Dragons' Den le 17 septembre!</t>
        </is>
      </c>
      <c r="Q193" s="25" t="inlineStr">
        <is>
          <t>Bonjour Francis,</t>
        </is>
      </c>
      <c r="S193" s="46" t="inlineStr">
        <is>
          <t>Bonjour Francis,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4" ht="240" customHeight="1" s="26">
      <c r="A194" s="43" t="inlineStr">
        <is>
          <t>C</t>
        </is>
      </c>
      <c r="B194" s="36" t="inlineStr">
        <is>
          <t>Raymonde</t>
        </is>
      </c>
      <c r="C194" s="36" t="inlineStr">
        <is>
          <t>Provencher</t>
        </is>
      </c>
      <c r="D194" s="37" t="inlineStr">
        <is>
          <t>Réalisatrice - productrice - recherchiste - scénariste</t>
        </is>
      </c>
      <c r="E194" s="36" t="inlineStr">
        <is>
          <t>Pigiste</t>
        </is>
      </c>
      <c r="F194" s="36" t="inlineStr">
        <is>
          <t>raymondep@macumbainternational.com</t>
        </is>
      </c>
      <c r="G194" s="36" t="inlineStr">
        <is>
          <t>438 889 9212</t>
        </is>
      </c>
      <c r="H194" s="36" t="inlineStr">
        <is>
          <t>Montréal</t>
        </is>
      </c>
      <c r="I194" s="37" t="inlineStr">
        <is>
          <t>Environnement</t>
        </is>
      </c>
      <c r="J194" s="36" t="n"/>
      <c r="K194" s="42" t="inlineStr">
        <is>
          <t>Ouvrir</t>
        </is>
      </c>
      <c r="L194" s="38" t="inlineStr">
        <is>
          <t>2026-09-16 12:17</t>
        </is>
      </c>
      <c r="M194" s="38" t="n"/>
      <c r="N194" s="39" t="n"/>
      <c r="O194" s="25" t="inlineStr">
        <is>
          <t>I</t>
        </is>
      </c>
      <c r="P194" s="25" t="inlineStr">
        <is>
          <t>L'asclépiade à Dragons' Den le 17 septembre!</t>
        </is>
      </c>
      <c r="Q194" s="25" t="inlineStr">
        <is>
          <t>Bonjour Raymonde,</t>
        </is>
      </c>
      <c r="R194" s="25" t="inlineStr">
        <is>
          <t>Adresse personnelle : individualiser vraiment</t>
        </is>
      </c>
      <c r="S194" s="46" t="inlineStr">
        <is>
          <t>Bonjour Raymonde,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5" ht="240" customHeight="1" s="26">
      <c r="A195" s="43" t="inlineStr">
        <is>
          <t>C</t>
        </is>
      </c>
      <c r="B195" s="36" t="inlineStr">
        <is>
          <t>Richard</t>
        </is>
      </c>
      <c r="C195" s="36" t="inlineStr">
        <is>
          <t>Prudhomme</t>
        </is>
      </c>
      <c r="D195" s="37" t="inlineStr">
        <is>
          <t>photographe de presse</t>
        </is>
      </c>
      <c r="E195" s="36" t="inlineStr">
        <is>
          <t>Pigiste</t>
        </is>
      </c>
      <c r="F195" s="36" t="inlineStr">
        <is>
          <t>rawdonphotos@hotmail.com</t>
        </is>
      </c>
      <c r="G195" s="36" t="inlineStr">
        <is>
          <t>450-755-8037</t>
        </is>
      </c>
      <c r="H195" s="36" t="inlineStr">
        <is>
          <t>Lanaudière</t>
        </is>
      </c>
      <c r="I195" s="37" t="inlineStr">
        <is>
          <t>Environnement; Mode et beauté</t>
        </is>
      </c>
      <c r="J195" s="36" t="n"/>
      <c r="K195" s="42" t="inlineStr">
        <is>
          <t>Ouvrir</t>
        </is>
      </c>
      <c r="L195" s="38" t="inlineStr">
        <is>
          <t>2026-09-16 12:17</t>
        </is>
      </c>
      <c r="M195" s="38" t="n"/>
      <c r="N195" s="39" t="n"/>
      <c r="O195" s="25" t="inlineStr">
        <is>
          <t>G</t>
        </is>
      </c>
      <c r="P195" s="25" t="inlineStr">
        <is>
          <t>L'asclépiade à Dragons' Den!</t>
        </is>
      </c>
      <c r="Q195" s="25" t="inlineStr">
        <is>
          <t>Bonjour Richard,</t>
        </is>
      </c>
      <c r="R195" s="25" t="inlineStr">
        <is>
          <t>Adresse personnelle : individualiser vraiment</t>
        </is>
      </c>
      <c r="S195" s="46" t="inlineStr">
        <is>
          <t>Bonjour Richard,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6" ht="240" customHeight="1" s="26">
      <c r="A196" s="43" t="inlineStr">
        <is>
          <t>C</t>
        </is>
      </c>
      <c r="B196" s="36" t="inlineStr">
        <is>
          <t>Pascale</t>
        </is>
      </c>
      <c r="C196" s="36" t="inlineStr">
        <is>
          <t>Renaud</t>
        </is>
      </c>
      <c r="D196" s="37" t="inlineStr">
        <is>
          <t>Freelance en journalisme</t>
        </is>
      </c>
      <c r="E196" s="36" t="inlineStr">
        <is>
          <t>Pigiste</t>
        </is>
      </c>
      <c r="F196" s="36" t="inlineStr">
        <is>
          <t>pascalerenaud29@hotmail.com</t>
        </is>
      </c>
      <c r="G196" s="36" t="inlineStr">
        <is>
          <t>5145665617</t>
        </is>
      </c>
      <c r="H196" s="36" t="inlineStr">
        <is>
          <t>Montréal</t>
        </is>
      </c>
      <c r="I196" s="37" t="inlineStr">
        <is>
          <t>Consommation</t>
        </is>
      </c>
      <c r="J196" s="36" t="n"/>
      <c r="K196" s="42" t="inlineStr">
        <is>
          <t>Ouvrir</t>
        </is>
      </c>
      <c r="L196" s="38" t="inlineStr">
        <is>
          <t>2026-09-16 12:18</t>
        </is>
      </c>
      <c r="M196" s="38" t="n"/>
      <c r="N196" s="39" t="n"/>
      <c r="O196" s="25" t="inlineStr">
        <is>
          <t>G</t>
        </is>
      </c>
      <c r="P196" s="25" t="inlineStr">
        <is>
          <t>L'asclépiade à Dragons' Den!</t>
        </is>
      </c>
      <c r="Q196" s="25" t="inlineStr">
        <is>
          <t>Bonjour Pascale,</t>
        </is>
      </c>
      <c r="R196" s="25" t="inlineStr">
        <is>
          <t>Adresse personnelle : individualiser vraiment</t>
        </is>
      </c>
      <c r="S196" s="46" t="inlineStr">
        <is>
          <t>Bonjour Pascale,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7" ht="240" customHeight="1" s="26">
      <c r="A197" s="43" t="inlineStr">
        <is>
          <t>C</t>
        </is>
      </c>
      <c r="B197" s="36" t="inlineStr">
        <is>
          <t>Marc Sony</t>
        </is>
      </c>
      <c r="C197" s="36" t="inlineStr">
        <is>
          <t>Ricot</t>
        </is>
      </c>
      <c r="D197" s="37" t="inlineStr">
        <is>
          <t>Chroniqueur</t>
        </is>
      </c>
      <c r="E197" s="36" t="inlineStr">
        <is>
          <t>La Presse</t>
        </is>
      </c>
      <c r="F197" s="36" t="inlineStr">
        <is>
          <t>mricot@collaborateur.lapresse.ca</t>
        </is>
      </c>
      <c r="G197" s="36" t="inlineStr">
        <is>
          <t>4385359125</t>
        </is>
      </c>
      <c r="H197" s="36" t="inlineStr">
        <is>
          <t>Montréal</t>
        </is>
      </c>
      <c r="I197" s="37" t="inlineStr">
        <is>
          <t>Art de vivre</t>
        </is>
      </c>
      <c r="J197" s="36" t="n"/>
      <c r="K197" s="42" t="inlineStr">
        <is>
          <t>Ouvrir</t>
        </is>
      </c>
      <c r="L197" s="38" t="inlineStr">
        <is>
          <t>2026-09-16 12:18</t>
        </is>
      </c>
      <c r="M197" s="38" t="n"/>
      <c r="N197" s="39" t="n"/>
      <c r="O197" s="25" t="inlineStr">
        <is>
          <t>G</t>
        </is>
      </c>
      <c r="P197" s="25" t="inlineStr">
        <is>
          <t>L'asclépiade à Dragons' Den!</t>
        </is>
      </c>
      <c r="Q197" s="25" t="inlineStr">
        <is>
          <t>Bonjour Marc Sony,</t>
        </is>
      </c>
      <c r="S197" s="46" t="inlineStr">
        <is>
          <t>Bonjour Marc Sony,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8" ht="240" customHeight="1" s="26">
      <c r="A198" s="43" t="inlineStr">
        <is>
          <t>C</t>
        </is>
      </c>
      <c r="B198" s="36" t="inlineStr">
        <is>
          <t>Marie-Paul</t>
        </is>
      </c>
      <c r="C198" s="36" t="inlineStr">
        <is>
          <t>Rouleau</t>
        </is>
      </c>
      <c r="D198" s="37" t="inlineStr">
        <is>
          <t>Journaliste pigiste - Professeur-formatrice - Réalisatrice de balado</t>
        </is>
      </c>
      <c r="E198" s="36" t="inlineStr">
        <is>
          <t>Pigiste</t>
        </is>
      </c>
      <c r="F198" s="36" t="inlineStr">
        <is>
          <t>mprouleau100@gmail.com</t>
        </is>
      </c>
      <c r="G198" s="36" t="inlineStr">
        <is>
          <t>514 647 8425</t>
        </is>
      </c>
      <c r="H198" s="36" t="inlineStr">
        <is>
          <t>Montréal</t>
        </is>
      </c>
      <c r="I198" s="37" t="inlineStr">
        <is>
          <t>Environnement</t>
        </is>
      </c>
      <c r="J198" s="36" t="n"/>
      <c r="K198" s="42" t="inlineStr">
        <is>
          <t>Ouvrir</t>
        </is>
      </c>
      <c r="L198" s="38" t="inlineStr">
        <is>
          <t>2026-09-16 12:19</t>
        </is>
      </c>
      <c r="M198" s="38" t="n"/>
      <c r="N198" s="39" t="n"/>
      <c r="O198" s="25" t="inlineStr">
        <is>
          <t>D</t>
        </is>
      </c>
      <c r="P198" s="25" t="inlineStr">
        <is>
          <t>L'asclépiade et les monarques à Dragons' Den!</t>
        </is>
      </c>
      <c r="Q198" s="25" t="inlineStr">
        <is>
          <t>Bonjour Marie-Paul,</t>
        </is>
      </c>
      <c r="R198" s="25" t="inlineStr">
        <is>
          <t>Adresse personnelle : individualiser vraiment</t>
        </is>
      </c>
      <c r="S198" s="46" t="inlineStr">
        <is>
          <t>Bonjour Marie-Paul,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199" ht="240" customHeight="1" s="26">
      <c r="A199" s="43" t="inlineStr">
        <is>
          <t>C</t>
        </is>
      </c>
      <c r="B199" s="36" t="inlineStr">
        <is>
          <t>Emmalie</t>
        </is>
      </c>
      <c r="C199" s="36" t="inlineStr">
        <is>
          <t>Ruest</t>
        </is>
      </c>
      <c r="D199" s="37" t="inlineStr">
        <is>
          <t>journaliste</t>
        </is>
      </c>
      <c r="E199" s="36" t="inlineStr">
        <is>
          <t>Radio-Canada (RDI)</t>
        </is>
      </c>
      <c r="F199" s="36" t="inlineStr">
        <is>
          <t>emmalie.ruest@radio-canada.ca</t>
        </is>
      </c>
      <c r="G199" s="36" t="n"/>
      <c r="H199" s="36" t="inlineStr">
        <is>
          <t>Montréal</t>
        </is>
      </c>
      <c r="I199" s="37" t="inlineStr">
        <is>
          <t>Environnement</t>
        </is>
      </c>
      <c r="J199" s="36" t="n"/>
      <c r="K199" s="42" t="inlineStr">
        <is>
          <t>Ouvrir</t>
        </is>
      </c>
      <c r="L199" s="38" t="inlineStr">
        <is>
          <t>2026-09-16 12:19</t>
        </is>
      </c>
      <c r="M199" s="38" t="n"/>
      <c r="N199" s="39" t="n"/>
      <c r="O199" s="25" t="inlineStr">
        <is>
          <t>I</t>
        </is>
      </c>
      <c r="P199" s="25" t="inlineStr">
        <is>
          <t>L'asclépiade à Dragons' Den le 17 septembre!</t>
        </is>
      </c>
      <c r="Q199" s="25" t="inlineStr">
        <is>
          <t>Bonjour Emmalie,</t>
        </is>
      </c>
      <c r="S199" s="46" t="inlineStr">
        <is>
          <t>Bonjour Emmalie,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0" ht="240" customHeight="1" s="26">
      <c r="A200" s="43" t="inlineStr">
        <is>
          <t>C</t>
        </is>
      </c>
      <c r="B200" s="36" t="inlineStr">
        <is>
          <t>Louis-Philippe</t>
        </is>
      </c>
      <c r="C200" s="36" t="inlineStr">
        <is>
          <t>Samson</t>
        </is>
      </c>
      <c r="D200" s="37" t="inlineStr">
        <is>
          <t>Journaliste</t>
        </is>
      </c>
      <c r="E200" s="36" t="inlineStr">
        <is>
          <t>L'Express (Drummondville)</t>
        </is>
      </c>
      <c r="F200" s="36" t="inlineStr">
        <is>
          <t>louis-philippe.samson@journalexpress.ca</t>
        </is>
      </c>
      <c r="G200" s="36" t="inlineStr">
        <is>
          <t>819 478-8171 poste 518</t>
        </is>
      </c>
      <c r="H200" s="36" t="inlineStr">
        <is>
          <t>Centre-du-Québec</t>
        </is>
      </c>
      <c r="I200" s="37" t="inlineStr">
        <is>
          <t>Économie</t>
        </is>
      </c>
      <c r="J200" s="36" t="n"/>
      <c r="K200" s="42" t="inlineStr">
        <is>
          <t>Ouvrir</t>
        </is>
      </c>
      <c r="L200" s="38" t="inlineStr">
        <is>
          <t>2026-09-16 12:20</t>
        </is>
      </c>
      <c r="M200" s="38" t="n"/>
      <c r="N200" s="39" t="n"/>
      <c r="O200" s="25" t="inlineStr">
        <is>
          <t>B</t>
        </is>
      </c>
      <c r="P200" s="25" t="inlineStr">
        <is>
          <t>L'asclépiade du Centre-du-Québec à Dragons' Den!</t>
        </is>
      </c>
      <c r="Q200" s="25" t="inlineStr">
        <is>
          <t>Bonjour Louis-Philippe,</t>
        </is>
      </c>
      <c r="S200" s="46" t="inlineStr">
        <is>
          <t>Bonjour Louis-Philippe,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se cultive chez vous depuis la première vague de 2013, celle de la Coopérative Monark et de ses 125 producteurs. Plusieurs de ceux qui ont tenu bon après [la faillite d'octobre 2017](https://ici.radio-canada.ca/nouvelle/1061543/asclepiade-soyer-producteurs-industries-encore3-faillite-monark) nous vendent encore leur récolte.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1" ht="240" customHeight="1" s="26">
      <c r="A201" s="43" t="inlineStr">
        <is>
          <t>C</t>
        </is>
      </c>
      <c r="B201" s="36" t="inlineStr">
        <is>
          <t>Catherine</t>
        </is>
      </c>
      <c r="C201" s="36" t="inlineStr">
        <is>
          <t>Schlager</t>
        </is>
      </c>
      <c r="D201" s="37" t="inlineStr">
        <is>
          <t>Journaliste au pupitre</t>
        </is>
      </c>
      <c r="E201" s="36" t="inlineStr">
        <is>
          <t>La Presse</t>
        </is>
      </c>
      <c r="F201" s="36" t="inlineStr">
        <is>
          <t>cschlager@lapresse.ca</t>
        </is>
      </c>
      <c r="G201" s="36" t="inlineStr">
        <is>
          <t>514 285-7000, #6581</t>
        </is>
      </c>
      <c r="H201" s="36" t="inlineStr">
        <is>
          <t>Montréal</t>
        </is>
      </c>
      <c r="I201" s="37" t="inlineStr">
        <is>
          <t>Art de vivre; Consommation</t>
        </is>
      </c>
      <c r="J201" s="36" t="n"/>
      <c r="K201" s="42" t="inlineStr">
        <is>
          <t>Ouvrir</t>
        </is>
      </c>
      <c r="L201" s="38" t="inlineStr">
        <is>
          <t>2026-09-16 12:20</t>
        </is>
      </c>
      <c r="M201" s="38" t="n"/>
      <c r="N201" s="39" t="n"/>
      <c r="O201" s="25" t="inlineStr">
        <is>
          <t>G</t>
        </is>
      </c>
      <c r="P201" s="25" t="inlineStr">
        <is>
          <t>L'asclépiade à Dragons' Den!</t>
        </is>
      </c>
      <c r="Q201" s="25" t="inlineStr">
        <is>
          <t>Bonjour Catherine,</t>
        </is>
      </c>
      <c r="S201" s="46" t="inlineStr">
        <is>
          <t>Bonjour Catherine,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l'art de vivre et la consommation. Le contraste se photographie bien : la gousse dans le champ, la soie blanche dans la main, le manteau porté en ville.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L'atelier de Limoilou est ouvert si vous voulez voir la matière de vos yeux.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2" ht="240" customHeight="1" s="26">
      <c r="A202" s="43" t="inlineStr">
        <is>
          <t>C</t>
        </is>
      </c>
      <c r="B202" s="36" t="inlineStr">
        <is>
          <t>Olivier</t>
        </is>
      </c>
      <c r="C202" s="36" t="inlineStr">
        <is>
          <t>Schmouker</t>
        </is>
      </c>
      <c r="D202" s="37" t="inlineStr">
        <is>
          <t>Chroniqueur et responsable des dossiers</t>
        </is>
      </c>
      <c r="E202" s="36" t="inlineStr">
        <is>
          <t>Les Affaires</t>
        </is>
      </c>
      <c r="F202" s="36" t="inlineStr">
        <is>
          <t>olivier.schmouker@groupecontex.ca</t>
        </is>
      </c>
      <c r="G202" s="36" t="n"/>
      <c r="H202" s="36" t="inlineStr">
        <is>
          <t>Montréal</t>
        </is>
      </c>
      <c r="I202" s="37" t="inlineStr">
        <is>
          <t>Économie</t>
        </is>
      </c>
      <c r="J202" s="36" t="n"/>
      <c r="K202" s="42" t="inlineStr">
        <is>
          <t>Ouvrir</t>
        </is>
      </c>
      <c r="L202" s="38" t="inlineStr">
        <is>
          <t>2026-09-16 12:21</t>
        </is>
      </c>
      <c r="M202" s="38" t="n"/>
      <c r="N202" s="39" t="n"/>
      <c r="O202" s="25" t="inlineStr">
        <is>
          <t>E</t>
        </is>
      </c>
      <c r="P202" s="25" t="inlineStr">
        <is>
          <t>L'asclépiade à Dragons' Den le 17 septembre!</t>
        </is>
      </c>
      <c r="Q202" s="25" t="inlineStr">
        <is>
          <t>Bonjour Olivier,</t>
        </is>
      </c>
      <c r="S202" s="46" t="inlineStr">
        <is>
          <t>Bonjour Olivier,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3" ht="240" customHeight="1" s="26">
      <c r="A203" s="43" t="inlineStr">
        <is>
          <t>C</t>
        </is>
      </c>
      <c r="B203" s="36" t="inlineStr">
        <is>
          <t>Jacques</t>
        </is>
      </c>
      <c r="C203" s="36" t="inlineStr">
        <is>
          <t>Sennechael</t>
        </is>
      </c>
      <c r="D203" s="37" t="inlineStr">
        <is>
          <t>Rédacteur en chef</t>
        </is>
      </c>
      <c r="E203" s="36" t="inlineStr">
        <is>
          <t>Vélo Québec Éditions - Vélo Mag</t>
        </is>
      </c>
      <c r="F203" s="36" t="inlineStr">
        <is>
          <t>jsennechael@velo.qc.ca</t>
        </is>
      </c>
      <c r="G203" s="36" t="n"/>
      <c r="H203" s="36" t="inlineStr">
        <is>
          <t>Lanaudière</t>
        </is>
      </c>
      <c r="I203" s="37" t="inlineStr">
        <is>
          <t>Plein air</t>
        </is>
      </c>
      <c r="J203" s="36" t="n"/>
      <c r="K203" s="42" t="inlineStr">
        <is>
          <t>Ouvrir</t>
        </is>
      </c>
      <c r="L203" s="38" t="inlineStr">
        <is>
          <t>2026-09-16 12:21</t>
        </is>
      </c>
      <c r="M203" s="38" t="n"/>
      <c r="N203" s="39" t="n"/>
      <c r="O203" s="25" t="inlineStr">
        <is>
          <t>B</t>
        </is>
      </c>
      <c r="P203" s="25" t="inlineStr">
        <is>
          <t>L'asclépiade à Dragons' Den le 17 septembre!</t>
        </is>
      </c>
      <c r="Q203" s="25" t="inlineStr">
        <is>
          <t>Bonjour Jacques,</t>
        </is>
      </c>
      <c r="S203" s="46" t="inlineStr">
        <is>
          <t>Bonjour Jacques,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4" ht="240" customHeight="1" s="26">
      <c r="A204" s="43" t="inlineStr">
        <is>
          <t>C</t>
        </is>
      </c>
      <c r="B204" s="36" t="inlineStr">
        <is>
          <t>Alexandre</t>
        </is>
      </c>
      <c r="C204" s="36" t="inlineStr">
        <is>
          <t>Shields</t>
        </is>
      </c>
      <c r="D204" s="37" t="inlineStr">
        <is>
          <t>Journaliste</t>
        </is>
      </c>
      <c r="E204" s="36" t="inlineStr">
        <is>
          <t>Le Devoir</t>
        </is>
      </c>
      <c r="F204" s="36" t="inlineStr">
        <is>
          <t>ashields@ledevoir.com</t>
        </is>
      </c>
      <c r="G204" s="36" t="inlineStr">
        <is>
          <t>514-583-1055</t>
        </is>
      </c>
      <c r="H204" s="36" t="inlineStr">
        <is>
          <t>Montréal</t>
        </is>
      </c>
      <c r="I204" s="37" t="inlineStr">
        <is>
          <t>Environnement</t>
        </is>
      </c>
      <c r="J204" s="36" t="n"/>
      <c r="K204" s="42" t="inlineStr">
        <is>
          <t>Ouvrir</t>
        </is>
      </c>
      <c r="L204" s="38" t="inlineStr">
        <is>
          <t>2026-09-16 12:22</t>
        </is>
      </c>
      <c r="M204" s="38" t="n"/>
      <c r="N204" s="39" t="n"/>
      <c r="O204" s="25" t="inlineStr">
        <is>
          <t>D</t>
        </is>
      </c>
      <c r="P204" s="25" t="inlineStr">
        <is>
          <t>L'asclépiade et les monarques à Dragons' Den!</t>
        </is>
      </c>
      <c r="Q204" s="25" t="inlineStr">
        <is>
          <t>Bonjour Alexandre,</t>
        </is>
      </c>
      <c r="S204" s="46" t="inlineStr">
        <is>
          <t>Bonjour Alexandre,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5" ht="240" customHeight="1" s="26">
      <c r="A205" s="43" t="inlineStr">
        <is>
          <t>C</t>
        </is>
      </c>
      <c r="B205" s="36" t="inlineStr">
        <is>
          <t>Chloé</t>
        </is>
      </c>
      <c r="C205" s="36" t="inlineStr">
        <is>
          <t>Sondervorst</t>
        </is>
      </c>
      <c r="D205" s="37" t="inlineStr">
        <is>
          <t>Réalisatrice</t>
        </is>
      </c>
      <c r="E205" s="36" t="inlineStr">
        <is>
          <t>Radio-Canada (QC)</t>
        </is>
      </c>
      <c r="F205" s="36" t="inlineStr">
        <is>
          <t>chloe.sondervorst@radio-canada.ca</t>
        </is>
      </c>
      <c r="G205" s="36" t="n"/>
      <c r="H205" s="36" t="inlineStr">
        <is>
          <t>Montréal</t>
        </is>
      </c>
      <c r="I205" s="37" t="inlineStr">
        <is>
          <t>Environnement</t>
        </is>
      </c>
      <c r="J205" s="36" t="n"/>
      <c r="K205" s="42" t="inlineStr">
        <is>
          <t>Ouvrir</t>
        </is>
      </c>
      <c r="L205" s="38" t="inlineStr">
        <is>
          <t>2026-09-16 12:22</t>
        </is>
      </c>
      <c r="M205" s="38" t="n"/>
      <c r="N205" s="39" t="n"/>
      <c r="O205" s="25" t="inlineStr">
        <is>
          <t>D</t>
        </is>
      </c>
      <c r="P205" s="25" t="inlineStr">
        <is>
          <t>L'asclépiade et les monarques à Dragons' Den!</t>
        </is>
      </c>
      <c r="Q205" s="25" t="inlineStr">
        <is>
          <t>Bonjour Chloé,</t>
        </is>
      </c>
      <c r="S205" s="46" t="inlineStr">
        <is>
          <t>Bonjour Chloé,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6" ht="240" customHeight="1" s="26">
      <c r="A206" s="43" t="inlineStr">
        <is>
          <t>C</t>
        </is>
      </c>
      <c r="B206" s="36" t="inlineStr">
        <is>
          <t>Kimberley</t>
        </is>
      </c>
      <c r="C206" s="36" t="inlineStr">
        <is>
          <t>Sullivan</t>
        </is>
      </c>
      <c r="D206" s="37" t="inlineStr">
        <is>
          <t>Animatrice, journaliste, productrice</t>
        </is>
      </c>
      <c r="E206" s="36" t="inlineStr">
        <is>
          <t>Pigiste</t>
        </is>
      </c>
      <c r="F206" s="36" t="inlineStr">
        <is>
          <t>ksullivan@aptn.ca</t>
        </is>
      </c>
      <c r="G206" s="36" t="inlineStr">
        <is>
          <t>514-888-1046</t>
        </is>
      </c>
      <c r="H206" s="36" t="inlineStr">
        <is>
          <t>Montérégie</t>
        </is>
      </c>
      <c r="I206" s="37" t="inlineStr">
        <is>
          <t>Art de vivre</t>
        </is>
      </c>
      <c r="J206" s="36" t="n"/>
      <c r="K206" s="42" t="inlineStr">
        <is>
          <t>Ouvrir</t>
        </is>
      </c>
      <c r="L206" s="38" t="inlineStr">
        <is>
          <t>2026-09-16 12:23</t>
        </is>
      </c>
      <c r="M206" s="38" t="n"/>
      <c r="N206" s="39" t="n"/>
      <c r="O206" s="25" t="inlineStr">
        <is>
          <t>I</t>
        </is>
      </c>
      <c r="P206" s="25" t="inlineStr">
        <is>
          <t>L'asclépiade de la Montérégie à Dragons' Den!</t>
        </is>
      </c>
      <c r="Q206" s="25" t="inlineStr">
        <is>
          <t>Bonjour Kimberley,</t>
        </is>
      </c>
      <c r="R206" s="25" t="inlineStr">
        <is>
          <t>Adresse personnelle : individualiser vraiment</t>
        </is>
      </c>
      <c r="S206" s="46" t="inlineStr">
        <is>
          <t>Bonjour Kimberley,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7" ht="240" customHeight="1" s="26">
      <c r="A207" s="43" t="inlineStr">
        <is>
          <t>C</t>
        </is>
      </c>
      <c r="B207" s="36" t="inlineStr">
        <is>
          <t>William</t>
        </is>
      </c>
      <c r="C207" s="36" t="inlineStr">
        <is>
          <t>Thériault</t>
        </is>
      </c>
      <c r="D207" s="37" t="inlineStr">
        <is>
          <t>Journaliste</t>
        </is>
      </c>
      <c r="E207" s="36" t="inlineStr">
        <is>
          <t>La Presse</t>
        </is>
      </c>
      <c r="F207" s="36" t="inlineStr">
        <is>
          <t>williamtheriault1@gmail.com</t>
        </is>
      </c>
      <c r="G207" s="36" t="n"/>
      <c r="H207" s="36" t="inlineStr">
        <is>
          <t>Montérégie</t>
        </is>
      </c>
      <c r="I207" s="37" t="inlineStr">
        <is>
          <t>Économie</t>
        </is>
      </c>
      <c r="J207" s="36" t="n"/>
      <c r="K207" s="42" t="inlineStr">
        <is>
          <t>Ouvrir</t>
        </is>
      </c>
      <c r="L207" s="38" t="inlineStr">
        <is>
          <t>2026-09-16 12:24</t>
        </is>
      </c>
      <c r="M207" s="38" t="n"/>
      <c r="N207" s="39" t="n"/>
      <c r="O207" s="25" t="inlineStr">
        <is>
          <t>E</t>
        </is>
      </c>
      <c r="P207" s="25" t="inlineStr">
        <is>
          <t>L'asclépiade de la Montérégie à Dragons' Den!</t>
        </is>
      </c>
      <c r="Q207" s="25" t="inlineStr">
        <is>
          <t>Bonjour William,</t>
        </is>
      </c>
      <c r="R207" s="25" t="inlineStr">
        <is>
          <t>Adresse personnelle : individualiser vraiment</t>
        </is>
      </c>
      <c r="S207" s="46" t="inlineStr">
        <is>
          <t>Bonjour William,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Montérégie est une des régions où l'asclépiade se cultive encore, et que c'est de champs comme ceux-là que vient la fibre qu'on transforme à Québec.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8" ht="240" customHeight="1" s="26">
      <c r="A208" s="43" t="inlineStr">
        <is>
          <t>C</t>
        </is>
      </c>
      <c r="B208" s="36" t="inlineStr">
        <is>
          <t>Katia</t>
        </is>
      </c>
      <c r="C208" s="36" t="inlineStr">
        <is>
          <t>Tobar</t>
        </is>
      </c>
      <c r="D208" s="37" t="inlineStr">
        <is>
          <t>Pupitre</t>
        </is>
      </c>
      <c r="E208" s="36" t="inlineStr">
        <is>
          <t>Les Affaires</t>
        </is>
      </c>
      <c r="F208" s="36" t="inlineStr">
        <is>
          <t>katia.tobar@groupecontex.ca</t>
        </is>
      </c>
      <c r="G208" s="36" t="inlineStr">
        <is>
          <t>514 503 9958</t>
        </is>
      </c>
      <c r="H208" s="36" t="inlineStr">
        <is>
          <t>Montréal</t>
        </is>
      </c>
      <c r="I208" s="37" t="inlineStr">
        <is>
          <t>Économie</t>
        </is>
      </c>
      <c r="J208" s="36" t="n"/>
      <c r="K208" s="42" t="inlineStr">
        <is>
          <t>Ouvrir</t>
        </is>
      </c>
      <c r="L208" s="38" t="inlineStr">
        <is>
          <t>2026-09-16 12:24</t>
        </is>
      </c>
      <c r="M208" s="38" t="n"/>
      <c r="N208" s="39" t="n"/>
      <c r="O208" s="25" t="inlineStr">
        <is>
          <t>E</t>
        </is>
      </c>
      <c r="P208" s="25" t="inlineStr">
        <is>
          <t>L'asclépiade à Dragons' Den le 17 septembre!</t>
        </is>
      </c>
      <c r="Q208" s="25" t="inlineStr">
        <is>
          <t>Bonjour Katia,</t>
        </is>
      </c>
      <c r="S208" s="46" t="inlineStr">
        <is>
          <t>Bonjour Katia,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09" ht="240" customHeight="1" s="26">
      <c r="A209" s="43" t="inlineStr">
        <is>
          <t>C</t>
        </is>
      </c>
      <c r="B209" s="36" t="inlineStr">
        <is>
          <t>Martin</t>
        </is>
      </c>
      <c r="C209" s="36" t="inlineStr">
        <is>
          <t>Tremblay</t>
        </is>
      </c>
      <c r="D209" s="37" t="inlineStr">
        <is>
          <t>Photojournaliste-vidéaste</t>
        </is>
      </c>
      <c r="E209" s="36" t="inlineStr">
        <is>
          <t>La Presse</t>
        </is>
      </c>
      <c r="F209" s="36" t="inlineStr">
        <is>
          <t>martin.tremblay@lapresse.ca</t>
        </is>
      </c>
      <c r="G209" s="36" t="n"/>
      <c r="H209" s="36" t="inlineStr">
        <is>
          <t>Montréal</t>
        </is>
      </c>
      <c r="I209" s="37" t="inlineStr">
        <is>
          <t>Environnement</t>
        </is>
      </c>
      <c r="J209" s="36" t="n"/>
      <c r="K209" s="42" t="inlineStr">
        <is>
          <t>Ouvrir</t>
        </is>
      </c>
      <c r="L209" s="38" t="inlineStr">
        <is>
          <t>2026-09-16 12:25</t>
        </is>
      </c>
      <c r="M209" s="38" t="n"/>
      <c r="N209" s="39" t="n"/>
      <c r="O209" s="25" t="inlineStr">
        <is>
          <t>D</t>
        </is>
      </c>
      <c r="P209" s="25" t="inlineStr">
        <is>
          <t>L'asclépiade et les monarques à Dragons' Den!</t>
        </is>
      </c>
      <c r="Q209" s="25" t="inlineStr">
        <is>
          <t>Bonjour Martin,</t>
        </is>
      </c>
      <c r="S209" s="46" t="inlineStr">
        <is>
          <t>Bonjour Martin,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0" ht="240" customHeight="1" s="26">
      <c r="A210" s="43" t="inlineStr">
        <is>
          <t>C</t>
        </is>
      </c>
      <c r="B210" s="36" t="inlineStr">
        <is>
          <t>Marie-Christine</t>
        </is>
      </c>
      <c r="C210" s="36" t="inlineStr">
        <is>
          <t>Trottier</t>
        </is>
      </c>
      <c r="D210" s="37" t="inlineStr">
        <is>
          <t>Journaliste - animatrice</t>
        </is>
      </c>
      <c r="E210" s="36" t="inlineStr">
        <is>
          <t>Radio-Canada (Radio - Montréal)</t>
        </is>
      </c>
      <c r="F210" s="36" t="inlineStr">
        <is>
          <t>marie-christine.trottier@radio-canada.ca</t>
        </is>
      </c>
      <c r="G210" s="36" t="inlineStr">
        <is>
          <t>514 597-5767</t>
        </is>
      </c>
      <c r="H210" s="36" t="inlineStr">
        <is>
          <t>Montréal</t>
        </is>
      </c>
      <c r="I210" s="37" t="inlineStr">
        <is>
          <t>Art de vivre; Plein air</t>
        </is>
      </c>
      <c r="J210" s="36" t="n"/>
      <c r="K210" s="42" t="inlineStr">
        <is>
          <t>Ouvrir</t>
        </is>
      </c>
      <c r="L210" s="38" t="inlineStr">
        <is>
          <t>2026-09-16 12:25</t>
        </is>
      </c>
      <c r="M210" s="38" t="n"/>
      <c r="N210" s="39" t="n"/>
      <c r="O210" s="25" t="inlineStr">
        <is>
          <t>I</t>
        </is>
      </c>
      <c r="P210" s="25" t="inlineStr">
        <is>
          <t>L'asclépiade à Dragons' Den le 17 septembre!</t>
        </is>
      </c>
      <c r="Q210" s="25" t="inlineStr">
        <is>
          <t>Bonjour Marie-Christine,</t>
        </is>
      </c>
      <c r="S210" s="46" t="inlineStr">
        <is>
          <t>Bonjour Marie-Christine,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1" ht="240" customHeight="1" s="26">
      <c r="A211" s="43" t="inlineStr">
        <is>
          <t>C</t>
        </is>
      </c>
      <c r="B211" s="36" t="inlineStr">
        <is>
          <t>Pierre-Luc</t>
        </is>
      </c>
      <c r="C211" s="36" t="inlineStr">
        <is>
          <t>Trudel</t>
        </is>
      </c>
      <c r="D211" s="37" t="inlineStr">
        <is>
          <t>Rédacteur en chef</t>
        </is>
      </c>
      <c r="E211" s="36" t="inlineStr">
        <is>
          <t>Avantages</t>
        </is>
      </c>
      <c r="F211" s="36" t="inlineStr">
        <is>
          <t>pierre-luc.trudel@groupecontex.ca</t>
        </is>
      </c>
      <c r="G211" s="36" t="inlineStr">
        <is>
          <t>514 392-2009, poste 170</t>
        </is>
      </c>
      <c r="H211" s="36" t="inlineStr">
        <is>
          <t>Montréal</t>
        </is>
      </c>
      <c r="I211" s="37" t="inlineStr">
        <is>
          <t>Économie</t>
        </is>
      </c>
      <c r="J211" s="36" t="n"/>
      <c r="K211" s="42" t="inlineStr">
        <is>
          <t>Ouvrir</t>
        </is>
      </c>
      <c r="L211" s="38" t="inlineStr">
        <is>
          <t>2026-09-16 12:26</t>
        </is>
      </c>
      <c r="M211" s="38" t="n"/>
      <c r="N211" s="39" t="n"/>
      <c r="O211" s="25" t="inlineStr">
        <is>
          <t>E</t>
        </is>
      </c>
      <c r="P211" s="25" t="inlineStr">
        <is>
          <t>L'asclépiade à Dragons' Den le 17 septembre!</t>
        </is>
      </c>
      <c r="Q211" s="25" t="inlineStr">
        <is>
          <t>Bonjour Pierre-Luc,</t>
        </is>
      </c>
      <c r="S211" s="46" t="inlineStr">
        <is>
          <t>Bonjour Pierre-Luc,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l'économie. On a bâti nos propres procédés de transformation parce qu'aucun sous-traitant ne voulait toucher à l'asclépiade, puis on a changé de modèle manufacturier l'an dernier pour rendre un manteau accessible à 300 $. J'en ai fait une vidéo ici : https://www.youtube.com/watch?v=GKyHh-Ok9JU.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parler de ce que ça demande d'industrialiser une matière qui n'a aucune chaîne d'approvisionnement.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2" ht="240" customHeight="1" s="26">
      <c r="A212" s="43" t="inlineStr">
        <is>
          <t>C</t>
        </is>
      </c>
      <c r="B212" s="36" t="inlineStr">
        <is>
          <t>David</t>
        </is>
      </c>
      <c r="C212" s="36" t="inlineStr">
        <is>
          <t>Turbis</t>
        </is>
      </c>
      <c r="D212" s="37" t="inlineStr">
        <is>
          <t>journaliste / photographe de presse</t>
        </is>
      </c>
      <c r="E212" s="36" t="inlineStr">
        <is>
          <t>C B C (Radio-Canada)</t>
        </is>
      </c>
      <c r="F212" s="36" t="inlineStr">
        <is>
          <t>lagrc2015@gmail.com</t>
        </is>
      </c>
      <c r="G212" s="36" t="n"/>
      <c r="H212" s="36" t="inlineStr">
        <is>
          <t>Montréal</t>
        </is>
      </c>
      <c r="I212" s="37" t="inlineStr">
        <is>
          <t>Art de vivre</t>
        </is>
      </c>
      <c r="J212" s="36" t="n"/>
      <c r="K212" s="42" t="inlineStr">
        <is>
          <t>Ouvrir</t>
        </is>
      </c>
      <c r="L212" s="38" t="inlineStr">
        <is>
          <t>2026-09-16 12:26</t>
        </is>
      </c>
      <c r="M212" s="38" t="n"/>
      <c r="N212" s="39" t="n"/>
      <c r="O212" s="25" t="inlineStr">
        <is>
          <t>I</t>
        </is>
      </c>
      <c r="P212" s="25" t="inlineStr">
        <is>
          <t>L'asclépiade à Dragons' Den le 17 septembre!</t>
        </is>
      </c>
      <c r="Q212" s="25" t="inlineStr">
        <is>
          <t>Bonjour David,</t>
        </is>
      </c>
      <c r="R212" s="25" t="inlineStr">
        <is>
          <t>Adresse personnelle : individualiser vraiment</t>
        </is>
      </c>
      <c r="S212" s="46" t="inlineStr">
        <is>
          <t>Bonjour David,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3" ht="240" customHeight="1" s="26">
      <c r="A213" s="43" t="inlineStr">
        <is>
          <t>C</t>
        </is>
      </c>
      <c r="B213" s="36" t="inlineStr">
        <is>
          <t>Paule</t>
        </is>
      </c>
      <c r="C213" s="36" t="inlineStr">
        <is>
          <t>Vermot-Desroches</t>
        </is>
      </c>
      <c r="D213" s="37" t="inlineStr">
        <is>
          <t>Chroniqueuse</t>
        </is>
      </c>
      <c r="E213" s="36" t="inlineStr">
        <is>
          <t>Le Nouvelliste</t>
        </is>
      </c>
      <c r="F213" s="36" t="inlineStr">
        <is>
          <t>paule.vermot-desroches@lenouvelliste.qc.ca</t>
        </is>
      </c>
      <c r="G213" s="36" t="inlineStr">
        <is>
          <t>819 699-6695</t>
        </is>
      </c>
      <c r="H213" s="36" t="inlineStr">
        <is>
          <t>Mauricie</t>
        </is>
      </c>
      <c r="I213" s="37" t="inlineStr">
        <is>
          <t>Économie</t>
        </is>
      </c>
      <c r="J213" s="36" t="n"/>
      <c r="K213" s="42" t="inlineStr">
        <is>
          <t>Ouvrir</t>
        </is>
      </c>
      <c r="L213" s="38" t="inlineStr">
        <is>
          <t>2026-09-16 12:27</t>
        </is>
      </c>
      <c r="M213" s="38" t="n"/>
      <c r="N213" s="39" t="n"/>
      <c r="O213" s="25" t="inlineStr">
        <is>
          <t>B</t>
        </is>
      </c>
      <c r="P213" s="25" t="inlineStr">
        <is>
          <t>L'asclépiade de la Mauricie à Dragons' Den!</t>
        </is>
      </c>
      <c r="Q213" s="25" t="inlineStr">
        <is>
          <t>Bonjour Paule,</t>
        </is>
      </c>
      <c r="S213" s="46" t="inlineStr">
        <is>
          <t>Bonjour Paule,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a commencé chez vous, à Saint-Tite et dans Mékinac. Le groupe Protec-Style, qui exploitait l'usine de Saint-Tite sous le nom d'Encore 3, avait réservé 90 % de la récolte québécoise quand il a fait faillite [le 11 octobre 2017](https://ici.radio-canada.ca/nouvelle/1061543/asclepiade-soyer-producteurs-industries-encore3-faillite-monark), emportant Saint-Tite et son atelier de Granby. Les 125 producteurs de la Coopérative Monark ont pris le choc. Six semaines plus tard, [la MRC de Mékinac a fait pencher la relance](https://lenouvelliste.ca/affaires/asclepiade-les-activites-reprennent-a-lusine-de-saint-tite-9a7c0d08d77c81c7ab22fdfc8e47a922).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4" ht="240" customHeight="1" s="26">
      <c r="A214" s="43" t="inlineStr">
        <is>
          <t>C</t>
        </is>
      </c>
      <c r="B214" s="36" t="inlineStr">
        <is>
          <t>Alexandra</t>
        </is>
      </c>
      <c r="C214" s="36" t="inlineStr">
        <is>
          <t>Viau</t>
        </is>
      </c>
      <c r="D214" s="37" t="inlineStr">
        <is>
          <t>Réalisatrice de balados pour l'Information</t>
        </is>
      </c>
      <c r="E214" s="36" t="inlineStr">
        <is>
          <t>Radio-Canada (Radio - Montréal)</t>
        </is>
      </c>
      <c r="F214" s="36" t="inlineStr">
        <is>
          <t>alexandra.viau@radio-canada.ca</t>
        </is>
      </c>
      <c r="G214" s="36" t="inlineStr">
        <is>
          <t>5144750881</t>
        </is>
      </c>
      <c r="H214" s="36" t="inlineStr">
        <is>
          <t>Montréal</t>
        </is>
      </c>
      <c r="I214" s="37" t="inlineStr">
        <is>
          <t>Environnement</t>
        </is>
      </c>
      <c r="J214" s="36" t="n"/>
      <c r="K214" s="42" t="inlineStr">
        <is>
          <t>Ouvrir</t>
        </is>
      </c>
      <c r="L214" s="38" t="inlineStr">
        <is>
          <t>2026-09-16 12:27</t>
        </is>
      </c>
      <c r="M214" s="38" t="n"/>
      <c r="N214" s="39" t="n"/>
      <c r="O214" s="25" t="inlineStr">
        <is>
          <t>I</t>
        </is>
      </c>
      <c r="P214" s="25" t="inlineStr">
        <is>
          <t>L'asclépiade à Dragons' Den le 17 septembre!</t>
        </is>
      </c>
      <c r="Q214" s="25" t="inlineStr">
        <is>
          <t>Bonjour Alexandra,</t>
        </is>
      </c>
      <c r="S214" s="46" t="inlineStr">
        <is>
          <t>Bonjour Alexandra,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le sujet se raconte bien en ondes : une entreprise de Québec qui va expliquer à un auditoire pancanadien pourquoi la mauvaise herbe des champs de maïs peut isoler un manteau.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5" ht="240" customHeight="1" s="26">
      <c r="A215" s="43" t="inlineStr">
        <is>
          <t>C</t>
        </is>
      </c>
      <c r="B215" s="36" t="inlineStr">
        <is>
          <t>Raymond</t>
        </is>
      </c>
      <c r="C215" s="36" t="inlineStr">
        <is>
          <t>Viger</t>
        </is>
      </c>
      <c r="D215" s="37" t="inlineStr">
        <is>
          <t>Éditeur</t>
        </is>
      </c>
      <c r="E215" s="36" t="inlineStr">
        <is>
          <t>Reflet de société</t>
        </is>
      </c>
      <c r="F215" s="36" t="inlineStr">
        <is>
          <t>raymondviger@hotmail.com</t>
        </is>
      </c>
      <c r="G215" s="36" t="inlineStr">
        <is>
          <t>5142569000</t>
        </is>
      </c>
      <c r="H215" s="36" t="inlineStr">
        <is>
          <t>Montréal</t>
        </is>
      </c>
      <c r="I215" s="37" t="inlineStr">
        <is>
          <t>Environnement</t>
        </is>
      </c>
      <c r="J215" s="36" t="n"/>
      <c r="K215" s="42" t="inlineStr">
        <is>
          <t>Ouvrir</t>
        </is>
      </c>
      <c r="L215" s="38" t="inlineStr">
        <is>
          <t>2026-09-16 12:28</t>
        </is>
      </c>
      <c r="M215" s="38" t="n"/>
      <c r="N215" s="39" t="n"/>
      <c r="O215" s="25" t="inlineStr">
        <is>
          <t>D</t>
        </is>
      </c>
      <c r="P215" s="25" t="inlineStr">
        <is>
          <t>L'asclépiade et les monarques à Dragons' Den!</t>
        </is>
      </c>
      <c r="Q215" s="25" t="inlineStr">
        <is>
          <t>Bonjour Raymond,</t>
        </is>
      </c>
      <c r="R215" s="25" t="inlineStr">
        <is>
          <t>Adresse personnelle : individualiser vraiment</t>
        </is>
      </c>
      <c r="S215" s="46" t="inlineStr">
        <is>
          <t>Bonjour Raymond,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6" ht="240" customHeight="1" s="26">
      <c r="A216" s="43" t="inlineStr">
        <is>
          <t>C</t>
        </is>
      </c>
      <c r="B216" s="36" t="inlineStr">
        <is>
          <t>Paul Émile</t>
        </is>
      </c>
      <c r="C216" s="36" t="inlineStr">
        <is>
          <t>d'Entremont</t>
        </is>
      </c>
      <c r="D216" s="37" t="inlineStr">
        <is>
          <t>Réalisateur</t>
        </is>
      </c>
      <c r="E216" s="36" t="inlineStr">
        <is>
          <t>Radio-Canada</t>
        </is>
      </c>
      <c r="F216" s="36" t="inlineStr">
        <is>
          <t>paul.emile.dentremont@radio-canada.ca</t>
        </is>
      </c>
      <c r="G216" s="36" t="inlineStr">
        <is>
          <t>6043553941</t>
        </is>
      </c>
      <c r="H216" s="36" t="inlineStr">
        <is>
          <t>Canada anglais</t>
        </is>
      </c>
      <c r="I216" s="37" t="inlineStr">
        <is>
          <t>Économie</t>
        </is>
      </c>
      <c r="J216" s="36" t="n"/>
      <c r="K216" s="42" t="inlineStr">
        <is>
          <t>Ouvrir</t>
        </is>
      </c>
      <c r="L216" s="38" t="inlineStr">
        <is>
          <t>2026-09-16 12:28</t>
        </is>
      </c>
      <c r="M216" s="38" t="n"/>
      <c r="N216" s="39" t="n"/>
      <c r="O216" s="25" t="inlineStr">
        <is>
          <t>B</t>
        </is>
      </c>
      <c r="P216" s="25" t="inlineStr">
        <is>
          <t>L'asclépiade à Dragons' Den le 17 septembre!</t>
        </is>
      </c>
      <c r="Q216" s="25" t="inlineStr">
        <is>
          <t>Bonjour Paul Émile,</t>
        </is>
      </c>
      <c r="S216" s="46" t="inlineStr">
        <is>
          <t>Bonjour Paul Émile,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une nouvelle de chez nous qui passe au national.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suis disponible pour une entrevue avant ou après la diffusion.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7" ht="240" customHeight="1" s="26">
      <c r="A217" s="43" t="inlineStr">
        <is>
          <t>C</t>
        </is>
      </c>
      <c r="B217" s="36" t="inlineStr">
        <is>
          <t>Augustin</t>
        </is>
      </c>
      <c r="C217" s="36" t="inlineStr">
        <is>
          <t>de Baudinière</t>
        </is>
      </c>
      <c r="D217" s="37" t="inlineStr">
        <is>
          <t>Journaliste au pupitre</t>
        </is>
      </c>
      <c r="E217" s="36" t="inlineStr">
        <is>
          <t>Le Devoir</t>
        </is>
      </c>
      <c r="F217" s="36" t="inlineStr">
        <is>
          <t>adebaudiniere@ledevoir.com</t>
        </is>
      </c>
      <c r="G217" s="36" t="inlineStr">
        <is>
          <t>514 985-3416</t>
        </is>
      </c>
      <c r="H217" s="36" t="inlineStr">
        <is>
          <t>Montréal</t>
        </is>
      </c>
      <c r="I217" s="37" t="inlineStr">
        <is>
          <t>Environnement</t>
        </is>
      </c>
      <c r="J217" s="36" t="n"/>
      <c r="K217" s="42" t="inlineStr">
        <is>
          <t>Ouvrir</t>
        </is>
      </c>
      <c r="L217" s="38" t="inlineStr">
        <is>
          <t>2026-09-16 12:29</t>
        </is>
      </c>
      <c r="M217" s="38" t="n"/>
      <c r="N217" s="39" t="n"/>
      <c r="O217" s="25" t="inlineStr">
        <is>
          <t>D</t>
        </is>
      </c>
      <c r="P217" s="25" t="inlineStr">
        <is>
          <t>L'asclépiade et les monarques à Dragons' Den!</t>
        </is>
      </c>
      <c r="Q217" s="25" t="inlineStr">
        <is>
          <t>Bonjour Augustin,</t>
        </is>
      </c>
      <c r="S217" s="46" t="inlineStr">
        <is>
          <t>Bonjour Augustin,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8" ht="240" customHeight="1" s="26">
      <c r="A218" s="43" t="inlineStr">
        <is>
          <t>C</t>
        </is>
      </c>
      <c r="B218" s="36" t="inlineStr">
        <is>
          <t>Ivan</t>
        </is>
      </c>
      <c r="C218" s="36" t="inlineStr">
        <is>
          <t>de Jacquelin-Dulphe</t>
        </is>
      </c>
      <c r="D218" s="37" t="inlineStr">
        <is>
          <t>Journaliste</t>
        </is>
      </c>
      <c r="E218" s="36" t="inlineStr">
        <is>
          <t>Radio-Canada</t>
        </is>
      </c>
      <c r="F218" s="36" t="inlineStr">
        <is>
          <t>ivan.de.jacquelin-dulphe@radio-canada.ca</t>
        </is>
      </c>
      <c r="G218" s="36" t="n"/>
      <c r="H218" s="36" t="inlineStr">
        <is>
          <t>Montréal</t>
        </is>
      </c>
      <c r="I218" s="37" t="inlineStr">
        <is>
          <t>Environnement</t>
        </is>
      </c>
      <c r="J218" s="36" t="n"/>
      <c r="K218" s="42" t="inlineStr">
        <is>
          <t>Ouvrir</t>
        </is>
      </c>
      <c r="L218" s="38" t="inlineStr">
        <is>
          <t>2026-09-16 12:29</t>
        </is>
      </c>
      <c r="M218" s="38" t="n"/>
      <c r="N218" s="39" t="n"/>
      <c r="O218" s="25" t="inlineStr">
        <is>
          <t>D</t>
        </is>
      </c>
      <c r="P218" s="25" t="inlineStr">
        <is>
          <t>L'asclépiade et les monarques à Dragons' Den!</t>
        </is>
      </c>
      <c r="Q218" s="25" t="inlineStr">
        <is>
          <t>Bonjour Ivan,</t>
        </is>
      </c>
      <c r="S218" s="46" t="inlineStr">
        <is>
          <t>Bonjour Ivan,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vous couvrez l'environnement. Notre pari est économique avant d'être militant : si l'asclépiade devient payante, les agriculteurs la gardent dans leurs champs, et les monarques retrouvent de l'habitat de reproduction.
Ce jeudi 17 septembre, on va faire un énorme pas dans la bonne direction :
Je vais présenter Lasclay dans le premier épisode de la 21e saison de Dragons' Den, sur CBC et CBC Gem.
Aller présenter notre entreprise et sa mission à la télévision nationale est une opportunité qui arrive bien rarement. Je voulais vous en faire part et qui sait, peut-être vous inspirer un sujet. Je peux aussi parler de notre campagne de plantation, qui en est à sa 5e édition et qui a distribué environ 10 millions de graines en Amérique du Nord.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t>
        </is>
      </c>
    </row>
    <row r="219" ht="240" customHeight="1" s="26"/>
  </sheetData>
  <autoFilter ref="A1:N218"/>
  <hyperlinks>
    <hyperlink xmlns:r="http://schemas.openxmlformats.org/officeDocument/2006/relationships" ref="K2" display="Ouvrir" r:id="rId1"/>
    <hyperlink xmlns:r="http://schemas.openxmlformats.org/officeDocument/2006/relationships" ref="K3" display="Ouvrir" r:id="rId2"/>
    <hyperlink xmlns:r="http://schemas.openxmlformats.org/officeDocument/2006/relationships" ref="K4" display="Ouvrir" r:id="rId3"/>
    <hyperlink xmlns:r="http://schemas.openxmlformats.org/officeDocument/2006/relationships" ref="K5" display="Ouvrir" r:id="rId4"/>
    <hyperlink xmlns:r="http://schemas.openxmlformats.org/officeDocument/2006/relationships" ref="K6" display="Ouvrir" r:id="rId5"/>
    <hyperlink xmlns:r="http://schemas.openxmlformats.org/officeDocument/2006/relationships" ref="K7" display="Ouvrir" r:id="rId6"/>
    <hyperlink xmlns:r="http://schemas.openxmlformats.org/officeDocument/2006/relationships" ref="K8" display="Ouvrir" r:id="rId7"/>
    <hyperlink xmlns:r="http://schemas.openxmlformats.org/officeDocument/2006/relationships" ref="K9" display="Ouvrir" r:id="rId8"/>
    <hyperlink xmlns:r="http://schemas.openxmlformats.org/officeDocument/2006/relationships" ref="K10" display="Ouvrir" r:id="rId9"/>
    <hyperlink xmlns:r="http://schemas.openxmlformats.org/officeDocument/2006/relationships" ref="K11" display="Ouvrir" r:id="rId10"/>
    <hyperlink xmlns:r="http://schemas.openxmlformats.org/officeDocument/2006/relationships" ref="K12" display="Ouvrir" r:id="rId11"/>
    <hyperlink xmlns:r="http://schemas.openxmlformats.org/officeDocument/2006/relationships" ref="K13" display="Ouvrir" r:id="rId12"/>
    <hyperlink xmlns:r="http://schemas.openxmlformats.org/officeDocument/2006/relationships" ref="K14" display="Ouvrir" r:id="rId13"/>
    <hyperlink xmlns:r="http://schemas.openxmlformats.org/officeDocument/2006/relationships" ref="K15" display="Ouvrir" r:id="rId14"/>
    <hyperlink xmlns:r="http://schemas.openxmlformats.org/officeDocument/2006/relationships" ref="K16" display="Ouvrir" r:id="rId15"/>
    <hyperlink xmlns:r="http://schemas.openxmlformats.org/officeDocument/2006/relationships" ref="K17" display="Ouvrir" r:id="rId16"/>
    <hyperlink xmlns:r="http://schemas.openxmlformats.org/officeDocument/2006/relationships" ref="K18" display="Ouvrir" r:id="rId17"/>
    <hyperlink xmlns:r="http://schemas.openxmlformats.org/officeDocument/2006/relationships" ref="K19" display="Ouvrir" r:id="rId18"/>
    <hyperlink xmlns:r="http://schemas.openxmlformats.org/officeDocument/2006/relationships" ref="K20" display="Ouvrir" r:id="rId19"/>
    <hyperlink xmlns:r="http://schemas.openxmlformats.org/officeDocument/2006/relationships" ref="K21" display="Ouvrir" r:id="rId20"/>
    <hyperlink xmlns:r="http://schemas.openxmlformats.org/officeDocument/2006/relationships" ref="K22" display="Ouvrir" r:id="rId21"/>
    <hyperlink xmlns:r="http://schemas.openxmlformats.org/officeDocument/2006/relationships" ref="K23" display="Ouvrir" r:id="rId22"/>
    <hyperlink xmlns:r="http://schemas.openxmlformats.org/officeDocument/2006/relationships" ref="K24" display="Ouvrir" r:id="rId23"/>
    <hyperlink xmlns:r="http://schemas.openxmlformats.org/officeDocument/2006/relationships" ref="K25" display="Ouvrir" r:id="rId24"/>
    <hyperlink xmlns:r="http://schemas.openxmlformats.org/officeDocument/2006/relationships" ref="K26" display="Ouvrir" r:id="rId25"/>
    <hyperlink xmlns:r="http://schemas.openxmlformats.org/officeDocument/2006/relationships" ref="K27" display="Ouvrir" r:id="rId26"/>
    <hyperlink xmlns:r="http://schemas.openxmlformats.org/officeDocument/2006/relationships" ref="K28" display="Ouvrir" r:id="rId27"/>
    <hyperlink xmlns:r="http://schemas.openxmlformats.org/officeDocument/2006/relationships" ref="K29" display="Ouvrir" r:id="rId28"/>
    <hyperlink xmlns:r="http://schemas.openxmlformats.org/officeDocument/2006/relationships" ref="K30" display="Ouvrir" r:id="rId29"/>
    <hyperlink xmlns:r="http://schemas.openxmlformats.org/officeDocument/2006/relationships" ref="K31" display="Ouvrir" r:id="rId30"/>
    <hyperlink xmlns:r="http://schemas.openxmlformats.org/officeDocument/2006/relationships" ref="K32" display="Ouvrir" r:id="rId31"/>
    <hyperlink xmlns:r="http://schemas.openxmlformats.org/officeDocument/2006/relationships" ref="K33" display="Ouvrir" r:id="rId32"/>
    <hyperlink xmlns:r="http://schemas.openxmlformats.org/officeDocument/2006/relationships" ref="K34" display="Ouvrir" r:id="rId33"/>
    <hyperlink xmlns:r="http://schemas.openxmlformats.org/officeDocument/2006/relationships" ref="K35" display="Ouvrir" r:id="rId34"/>
    <hyperlink xmlns:r="http://schemas.openxmlformats.org/officeDocument/2006/relationships" ref="K36" display="Ouvrir" r:id="rId35"/>
    <hyperlink xmlns:r="http://schemas.openxmlformats.org/officeDocument/2006/relationships" ref="K37" display="Ouvrir" r:id="rId36"/>
    <hyperlink xmlns:r="http://schemas.openxmlformats.org/officeDocument/2006/relationships" ref="K38" display="Ouvrir" r:id="rId37"/>
    <hyperlink xmlns:r="http://schemas.openxmlformats.org/officeDocument/2006/relationships" ref="K39" display="Ouvrir" r:id="rId38"/>
    <hyperlink xmlns:r="http://schemas.openxmlformats.org/officeDocument/2006/relationships" ref="K40" display="Ouvrir" r:id="rId39"/>
    <hyperlink xmlns:r="http://schemas.openxmlformats.org/officeDocument/2006/relationships" ref="K41" display="Ouvrir" r:id="rId40"/>
    <hyperlink xmlns:r="http://schemas.openxmlformats.org/officeDocument/2006/relationships" ref="K42" display="Ouvrir" r:id="rId41"/>
    <hyperlink xmlns:r="http://schemas.openxmlformats.org/officeDocument/2006/relationships" ref="K43" display="Ouvrir" r:id="rId42"/>
    <hyperlink xmlns:r="http://schemas.openxmlformats.org/officeDocument/2006/relationships" ref="K44" display="Ouvrir" r:id="rId43"/>
    <hyperlink xmlns:r="http://schemas.openxmlformats.org/officeDocument/2006/relationships" ref="K45" display="Ouvrir" r:id="rId44"/>
    <hyperlink xmlns:r="http://schemas.openxmlformats.org/officeDocument/2006/relationships" ref="K46" display="Ouvrir" r:id="rId45"/>
    <hyperlink xmlns:r="http://schemas.openxmlformats.org/officeDocument/2006/relationships" ref="K47" display="Ouvrir" r:id="rId46"/>
    <hyperlink xmlns:r="http://schemas.openxmlformats.org/officeDocument/2006/relationships" ref="K48" display="Ouvrir" r:id="rId47"/>
    <hyperlink xmlns:r="http://schemas.openxmlformats.org/officeDocument/2006/relationships" ref="K49" display="Ouvrir" r:id="rId48"/>
    <hyperlink xmlns:r="http://schemas.openxmlformats.org/officeDocument/2006/relationships" ref="K50" display="Ouvrir" r:id="rId49"/>
    <hyperlink xmlns:r="http://schemas.openxmlformats.org/officeDocument/2006/relationships" ref="K51" display="Ouvrir" r:id="rId50"/>
    <hyperlink xmlns:r="http://schemas.openxmlformats.org/officeDocument/2006/relationships" ref="K52" display="Ouvrir" r:id="rId51"/>
    <hyperlink xmlns:r="http://schemas.openxmlformats.org/officeDocument/2006/relationships" ref="K53" display="Ouvrir" r:id="rId52"/>
    <hyperlink xmlns:r="http://schemas.openxmlformats.org/officeDocument/2006/relationships" ref="K54" display="Ouvrir" r:id="rId53"/>
    <hyperlink xmlns:r="http://schemas.openxmlformats.org/officeDocument/2006/relationships" ref="K55" display="Ouvrir" r:id="rId54"/>
    <hyperlink xmlns:r="http://schemas.openxmlformats.org/officeDocument/2006/relationships" ref="K56" display="Ouvrir" r:id="rId55"/>
    <hyperlink xmlns:r="http://schemas.openxmlformats.org/officeDocument/2006/relationships" ref="K57" display="Ouvrir" r:id="rId56"/>
    <hyperlink xmlns:r="http://schemas.openxmlformats.org/officeDocument/2006/relationships" ref="K58" display="Ouvrir" r:id="rId57"/>
    <hyperlink xmlns:r="http://schemas.openxmlformats.org/officeDocument/2006/relationships" ref="K59" display="Ouvrir" r:id="rId58"/>
    <hyperlink xmlns:r="http://schemas.openxmlformats.org/officeDocument/2006/relationships" ref="K60" display="Ouvrir" r:id="rId59"/>
    <hyperlink xmlns:r="http://schemas.openxmlformats.org/officeDocument/2006/relationships" ref="K61" display="Ouvrir" r:id="rId60"/>
    <hyperlink xmlns:r="http://schemas.openxmlformats.org/officeDocument/2006/relationships" ref="K62" display="Ouvrir" r:id="rId61"/>
    <hyperlink xmlns:r="http://schemas.openxmlformats.org/officeDocument/2006/relationships" ref="K63" display="Ouvrir" r:id="rId62"/>
    <hyperlink xmlns:r="http://schemas.openxmlformats.org/officeDocument/2006/relationships" ref="K64" display="Ouvrir" r:id="rId63"/>
    <hyperlink xmlns:r="http://schemas.openxmlformats.org/officeDocument/2006/relationships" ref="K65" display="Ouvrir" r:id="rId64"/>
    <hyperlink xmlns:r="http://schemas.openxmlformats.org/officeDocument/2006/relationships" ref="K66" display="Ouvrir" r:id="rId65"/>
    <hyperlink xmlns:r="http://schemas.openxmlformats.org/officeDocument/2006/relationships" ref="K67" display="Ouvrir" r:id="rId66"/>
    <hyperlink xmlns:r="http://schemas.openxmlformats.org/officeDocument/2006/relationships" ref="K68" display="Ouvrir" r:id="rId67"/>
    <hyperlink xmlns:r="http://schemas.openxmlformats.org/officeDocument/2006/relationships" ref="K69" display="Ouvrir" r:id="rId68"/>
    <hyperlink xmlns:r="http://schemas.openxmlformats.org/officeDocument/2006/relationships" ref="K70" display="Ouvrir" r:id="rId69"/>
    <hyperlink xmlns:r="http://schemas.openxmlformats.org/officeDocument/2006/relationships" ref="K71" display="Ouvrir" r:id="rId70"/>
    <hyperlink xmlns:r="http://schemas.openxmlformats.org/officeDocument/2006/relationships" ref="K72" display="Ouvrir" r:id="rId71"/>
    <hyperlink xmlns:r="http://schemas.openxmlformats.org/officeDocument/2006/relationships" ref="K73" display="Ouvrir" r:id="rId72"/>
    <hyperlink xmlns:r="http://schemas.openxmlformats.org/officeDocument/2006/relationships" ref="K74" display="Ouvrir" r:id="rId73"/>
    <hyperlink xmlns:r="http://schemas.openxmlformats.org/officeDocument/2006/relationships" ref="K75" display="Ouvrir" r:id="rId74"/>
    <hyperlink xmlns:r="http://schemas.openxmlformats.org/officeDocument/2006/relationships" ref="K76" display="Ouvrir" r:id="rId75"/>
    <hyperlink xmlns:r="http://schemas.openxmlformats.org/officeDocument/2006/relationships" ref="K77" display="Ouvrir" r:id="rId76"/>
    <hyperlink xmlns:r="http://schemas.openxmlformats.org/officeDocument/2006/relationships" ref="K78" display="Ouvrir" r:id="rId77"/>
    <hyperlink xmlns:r="http://schemas.openxmlformats.org/officeDocument/2006/relationships" ref="K79" display="Ouvrir" r:id="rId78"/>
    <hyperlink xmlns:r="http://schemas.openxmlformats.org/officeDocument/2006/relationships" ref="K80" display="Ouvrir" r:id="rId79"/>
    <hyperlink xmlns:r="http://schemas.openxmlformats.org/officeDocument/2006/relationships" ref="K81" display="Ouvrir" r:id="rId80"/>
    <hyperlink xmlns:r="http://schemas.openxmlformats.org/officeDocument/2006/relationships" ref="K82" display="Ouvrir" r:id="rId81"/>
    <hyperlink xmlns:r="http://schemas.openxmlformats.org/officeDocument/2006/relationships" ref="K83" display="Ouvrir" r:id="rId82"/>
    <hyperlink xmlns:r="http://schemas.openxmlformats.org/officeDocument/2006/relationships" ref="K84" display="Ouvrir" r:id="rId83"/>
    <hyperlink xmlns:r="http://schemas.openxmlformats.org/officeDocument/2006/relationships" ref="K85" display="Ouvrir" r:id="rId84"/>
    <hyperlink xmlns:r="http://schemas.openxmlformats.org/officeDocument/2006/relationships" ref="K86" display="Ouvrir" r:id="rId85"/>
    <hyperlink xmlns:r="http://schemas.openxmlformats.org/officeDocument/2006/relationships" ref="K87" display="Ouvrir" r:id="rId86"/>
    <hyperlink xmlns:r="http://schemas.openxmlformats.org/officeDocument/2006/relationships" ref="K88" display="Ouvrir" r:id="rId87"/>
    <hyperlink xmlns:r="http://schemas.openxmlformats.org/officeDocument/2006/relationships" ref="K89" display="Ouvrir" r:id="rId88"/>
    <hyperlink xmlns:r="http://schemas.openxmlformats.org/officeDocument/2006/relationships" ref="K90" display="Ouvrir" r:id="rId89"/>
    <hyperlink xmlns:r="http://schemas.openxmlformats.org/officeDocument/2006/relationships" ref="K91" display="Ouvrir" r:id="rId90"/>
    <hyperlink xmlns:r="http://schemas.openxmlformats.org/officeDocument/2006/relationships" ref="K92" display="Ouvrir" r:id="rId91"/>
    <hyperlink xmlns:r="http://schemas.openxmlformats.org/officeDocument/2006/relationships" ref="K93" display="Ouvrir" r:id="rId92"/>
    <hyperlink xmlns:r="http://schemas.openxmlformats.org/officeDocument/2006/relationships" ref="K94" display="Ouvrir" r:id="rId93"/>
    <hyperlink xmlns:r="http://schemas.openxmlformats.org/officeDocument/2006/relationships" ref="K95" display="Ouvrir" r:id="rId94"/>
    <hyperlink xmlns:r="http://schemas.openxmlformats.org/officeDocument/2006/relationships" ref="K96" display="Ouvrir" r:id="rId95"/>
    <hyperlink xmlns:r="http://schemas.openxmlformats.org/officeDocument/2006/relationships" ref="K97" display="Ouvrir" r:id="rId96"/>
    <hyperlink xmlns:r="http://schemas.openxmlformats.org/officeDocument/2006/relationships" ref="K98" display="Ouvrir" r:id="rId97"/>
    <hyperlink xmlns:r="http://schemas.openxmlformats.org/officeDocument/2006/relationships" ref="K99" display="Ouvrir" r:id="rId98"/>
    <hyperlink xmlns:r="http://schemas.openxmlformats.org/officeDocument/2006/relationships" ref="K100" display="Ouvrir" r:id="rId99"/>
    <hyperlink xmlns:r="http://schemas.openxmlformats.org/officeDocument/2006/relationships" ref="K101" display="Ouvrir" r:id="rId100"/>
    <hyperlink xmlns:r="http://schemas.openxmlformats.org/officeDocument/2006/relationships" ref="K102" display="Ouvrir" r:id="rId101"/>
    <hyperlink xmlns:r="http://schemas.openxmlformats.org/officeDocument/2006/relationships" ref="K103" display="Ouvrir" r:id="rId102"/>
    <hyperlink xmlns:r="http://schemas.openxmlformats.org/officeDocument/2006/relationships" ref="K104" display="Ouvrir" r:id="rId103"/>
    <hyperlink xmlns:r="http://schemas.openxmlformats.org/officeDocument/2006/relationships" ref="K105" display="Ouvrir" r:id="rId104"/>
    <hyperlink xmlns:r="http://schemas.openxmlformats.org/officeDocument/2006/relationships" ref="K106" display="Ouvrir" r:id="rId105"/>
    <hyperlink xmlns:r="http://schemas.openxmlformats.org/officeDocument/2006/relationships" ref="K107" display="Ouvrir" r:id="rId106"/>
    <hyperlink xmlns:r="http://schemas.openxmlformats.org/officeDocument/2006/relationships" ref="K108" display="Ouvrir" r:id="rId107"/>
    <hyperlink xmlns:r="http://schemas.openxmlformats.org/officeDocument/2006/relationships" ref="K109" display="Ouvrir" r:id="rId108"/>
    <hyperlink xmlns:r="http://schemas.openxmlformats.org/officeDocument/2006/relationships" ref="K110" display="Ouvrir" r:id="rId109"/>
    <hyperlink xmlns:r="http://schemas.openxmlformats.org/officeDocument/2006/relationships" ref="K111" display="Ouvrir" r:id="rId110"/>
    <hyperlink xmlns:r="http://schemas.openxmlformats.org/officeDocument/2006/relationships" ref="K112" display="Ouvrir" r:id="rId111"/>
    <hyperlink xmlns:r="http://schemas.openxmlformats.org/officeDocument/2006/relationships" ref="K113" display="Ouvrir" r:id="rId112"/>
    <hyperlink xmlns:r="http://schemas.openxmlformats.org/officeDocument/2006/relationships" ref="K114" display="Ouvrir" r:id="rId113"/>
    <hyperlink xmlns:r="http://schemas.openxmlformats.org/officeDocument/2006/relationships" ref="K115" display="Ouvrir" r:id="rId114"/>
    <hyperlink xmlns:r="http://schemas.openxmlformats.org/officeDocument/2006/relationships" ref="K116" display="Ouvrir" r:id="rId115"/>
    <hyperlink xmlns:r="http://schemas.openxmlformats.org/officeDocument/2006/relationships" ref="K117" display="Ouvrir" r:id="rId116"/>
    <hyperlink xmlns:r="http://schemas.openxmlformats.org/officeDocument/2006/relationships" ref="K118" display="Ouvrir" r:id="rId117"/>
    <hyperlink xmlns:r="http://schemas.openxmlformats.org/officeDocument/2006/relationships" ref="K119" display="Ouvrir" r:id="rId118"/>
    <hyperlink xmlns:r="http://schemas.openxmlformats.org/officeDocument/2006/relationships" ref="K120" display="Ouvrir" r:id="rId119"/>
    <hyperlink xmlns:r="http://schemas.openxmlformats.org/officeDocument/2006/relationships" ref="K121" display="Ouvrir" r:id="rId120"/>
    <hyperlink xmlns:r="http://schemas.openxmlformats.org/officeDocument/2006/relationships" ref="K122" display="Ouvrir" r:id="rId121"/>
    <hyperlink xmlns:r="http://schemas.openxmlformats.org/officeDocument/2006/relationships" ref="K123" display="Ouvrir" r:id="rId122"/>
    <hyperlink xmlns:r="http://schemas.openxmlformats.org/officeDocument/2006/relationships" ref="K124" display="Ouvrir" r:id="rId123"/>
    <hyperlink xmlns:r="http://schemas.openxmlformats.org/officeDocument/2006/relationships" ref="K125" display="Ouvrir" r:id="rId124"/>
    <hyperlink xmlns:r="http://schemas.openxmlformats.org/officeDocument/2006/relationships" ref="K126" display="Ouvrir" r:id="rId125"/>
    <hyperlink xmlns:r="http://schemas.openxmlformats.org/officeDocument/2006/relationships" ref="K127" display="Ouvrir" r:id="rId126"/>
    <hyperlink xmlns:r="http://schemas.openxmlformats.org/officeDocument/2006/relationships" ref="K128" display="Ouvrir" r:id="rId127"/>
    <hyperlink xmlns:r="http://schemas.openxmlformats.org/officeDocument/2006/relationships" ref="K129" display="Ouvrir" r:id="rId128"/>
    <hyperlink xmlns:r="http://schemas.openxmlformats.org/officeDocument/2006/relationships" ref="K130" display="Ouvrir" r:id="rId129"/>
    <hyperlink xmlns:r="http://schemas.openxmlformats.org/officeDocument/2006/relationships" ref="K131" display="Ouvrir" r:id="rId130"/>
    <hyperlink xmlns:r="http://schemas.openxmlformats.org/officeDocument/2006/relationships" ref="K132" display="Ouvrir" r:id="rId131"/>
    <hyperlink xmlns:r="http://schemas.openxmlformats.org/officeDocument/2006/relationships" ref="K133" display="Ouvrir" r:id="rId132"/>
    <hyperlink xmlns:r="http://schemas.openxmlformats.org/officeDocument/2006/relationships" ref="K134" display="Ouvrir" r:id="rId133"/>
    <hyperlink xmlns:r="http://schemas.openxmlformats.org/officeDocument/2006/relationships" ref="K135" display="Ouvrir" r:id="rId134"/>
    <hyperlink xmlns:r="http://schemas.openxmlformats.org/officeDocument/2006/relationships" ref="K136" display="Ouvrir" r:id="rId135"/>
    <hyperlink xmlns:r="http://schemas.openxmlformats.org/officeDocument/2006/relationships" ref="K137" display="Ouvrir" r:id="rId136"/>
    <hyperlink xmlns:r="http://schemas.openxmlformats.org/officeDocument/2006/relationships" ref="K138" display="Ouvrir" r:id="rId137"/>
    <hyperlink xmlns:r="http://schemas.openxmlformats.org/officeDocument/2006/relationships" ref="K139" display="Ouvrir" r:id="rId138"/>
    <hyperlink xmlns:r="http://schemas.openxmlformats.org/officeDocument/2006/relationships" ref="K140" display="Ouvrir" r:id="rId139"/>
    <hyperlink xmlns:r="http://schemas.openxmlformats.org/officeDocument/2006/relationships" ref="K141" display="Ouvrir" r:id="rId140"/>
    <hyperlink xmlns:r="http://schemas.openxmlformats.org/officeDocument/2006/relationships" ref="K142" display="Ouvrir" r:id="rId141"/>
    <hyperlink xmlns:r="http://schemas.openxmlformats.org/officeDocument/2006/relationships" ref="K143" display="Ouvrir" r:id="rId142"/>
    <hyperlink xmlns:r="http://schemas.openxmlformats.org/officeDocument/2006/relationships" ref="K144" display="Ouvrir" r:id="rId143"/>
    <hyperlink xmlns:r="http://schemas.openxmlformats.org/officeDocument/2006/relationships" ref="K145" display="Ouvrir" r:id="rId144"/>
    <hyperlink xmlns:r="http://schemas.openxmlformats.org/officeDocument/2006/relationships" ref="K146" display="Ouvrir" r:id="rId145"/>
    <hyperlink xmlns:r="http://schemas.openxmlformats.org/officeDocument/2006/relationships" ref="K147" display="Ouvrir" r:id="rId146"/>
    <hyperlink xmlns:r="http://schemas.openxmlformats.org/officeDocument/2006/relationships" ref="K148" display="Ouvrir" r:id="rId147"/>
    <hyperlink xmlns:r="http://schemas.openxmlformats.org/officeDocument/2006/relationships" ref="K149" display="Ouvrir" r:id="rId148"/>
    <hyperlink xmlns:r="http://schemas.openxmlformats.org/officeDocument/2006/relationships" ref="K150" display="Ouvrir" r:id="rId149"/>
    <hyperlink xmlns:r="http://schemas.openxmlformats.org/officeDocument/2006/relationships" ref="K151" display="Ouvrir" r:id="rId150"/>
    <hyperlink xmlns:r="http://schemas.openxmlformats.org/officeDocument/2006/relationships" ref="K152" display="Ouvrir" r:id="rId151"/>
    <hyperlink xmlns:r="http://schemas.openxmlformats.org/officeDocument/2006/relationships" ref="K153" display="Ouvrir" r:id="rId152"/>
    <hyperlink xmlns:r="http://schemas.openxmlformats.org/officeDocument/2006/relationships" ref="K154" display="Ouvrir" r:id="rId153"/>
    <hyperlink xmlns:r="http://schemas.openxmlformats.org/officeDocument/2006/relationships" ref="K155" display="Ouvrir" r:id="rId154"/>
    <hyperlink xmlns:r="http://schemas.openxmlformats.org/officeDocument/2006/relationships" ref="K156" display="Ouvrir" r:id="rId155"/>
    <hyperlink xmlns:r="http://schemas.openxmlformats.org/officeDocument/2006/relationships" ref="K157" display="Ouvrir" r:id="rId156"/>
    <hyperlink xmlns:r="http://schemas.openxmlformats.org/officeDocument/2006/relationships" ref="K158" display="Ouvrir" r:id="rId157"/>
    <hyperlink xmlns:r="http://schemas.openxmlformats.org/officeDocument/2006/relationships" ref="K159" display="Ouvrir" r:id="rId158"/>
    <hyperlink xmlns:r="http://schemas.openxmlformats.org/officeDocument/2006/relationships" ref="K160" display="Ouvrir" r:id="rId159"/>
    <hyperlink xmlns:r="http://schemas.openxmlformats.org/officeDocument/2006/relationships" ref="K161" display="Ouvrir" r:id="rId160"/>
    <hyperlink xmlns:r="http://schemas.openxmlformats.org/officeDocument/2006/relationships" ref="K162" display="Ouvrir" r:id="rId161"/>
    <hyperlink xmlns:r="http://schemas.openxmlformats.org/officeDocument/2006/relationships" ref="K163" display="Ouvrir" r:id="rId162"/>
    <hyperlink xmlns:r="http://schemas.openxmlformats.org/officeDocument/2006/relationships" ref="K164" display="Ouvrir" r:id="rId163"/>
    <hyperlink xmlns:r="http://schemas.openxmlformats.org/officeDocument/2006/relationships" ref="K165" display="Ouvrir" r:id="rId164"/>
    <hyperlink xmlns:r="http://schemas.openxmlformats.org/officeDocument/2006/relationships" ref="K166" display="Ouvrir" r:id="rId165"/>
    <hyperlink xmlns:r="http://schemas.openxmlformats.org/officeDocument/2006/relationships" ref="K167" display="Ouvrir" r:id="rId166"/>
    <hyperlink xmlns:r="http://schemas.openxmlformats.org/officeDocument/2006/relationships" ref="K168" display="Ouvrir" r:id="rId167"/>
    <hyperlink xmlns:r="http://schemas.openxmlformats.org/officeDocument/2006/relationships" ref="K169" display="Ouvrir" r:id="rId168"/>
    <hyperlink xmlns:r="http://schemas.openxmlformats.org/officeDocument/2006/relationships" ref="K170" display="Ouvrir" r:id="rId169"/>
    <hyperlink xmlns:r="http://schemas.openxmlformats.org/officeDocument/2006/relationships" ref="K171" display="Ouvrir" r:id="rId170"/>
    <hyperlink xmlns:r="http://schemas.openxmlformats.org/officeDocument/2006/relationships" ref="K172" display="Ouvrir" r:id="rId171"/>
    <hyperlink xmlns:r="http://schemas.openxmlformats.org/officeDocument/2006/relationships" ref="K173" display="Ouvrir" r:id="rId172"/>
    <hyperlink xmlns:r="http://schemas.openxmlformats.org/officeDocument/2006/relationships" ref="K174" display="Ouvrir" r:id="rId173"/>
    <hyperlink xmlns:r="http://schemas.openxmlformats.org/officeDocument/2006/relationships" ref="K175" display="Ouvrir" r:id="rId174"/>
    <hyperlink xmlns:r="http://schemas.openxmlformats.org/officeDocument/2006/relationships" ref="K176" display="Ouvrir" r:id="rId175"/>
    <hyperlink xmlns:r="http://schemas.openxmlformats.org/officeDocument/2006/relationships" ref="K177" display="Ouvrir" r:id="rId176"/>
    <hyperlink xmlns:r="http://schemas.openxmlformats.org/officeDocument/2006/relationships" ref="K178" display="Ouvrir" r:id="rId177"/>
    <hyperlink xmlns:r="http://schemas.openxmlformats.org/officeDocument/2006/relationships" ref="K179" display="Ouvrir" r:id="rId178"/>
    <hyperlink xmlns:r="http://schemas.openxmlformats.org/officeDocument/2006/relationships" ref="K180" display="Ouvrir" r:id="rId179"/>
    <hyperlink xmlns:r="http://schemas.openxmlformats.org/officeDocument/2006/relationships" ref="K181" display="Ouvrir" r:id="rId180"/>
    <hyperlink xmlns:r="http://schemas.openxmlformats.org/officeDocument/2006/relationships" ref="K182" display="Ouvrir" r:id="rId181"/>
    <hyperlink xmlns:r="http://schemas.openxmlformats.org/officeDocument/2006/relationships" ref="K183" display="Ouvrir" r:id="rId182"/>
    <hyperlink xmlns:r="http://schemas.openxmlformats.org/officeDocument/2006/relationships" ref="K184" display="Ouvrir" r:id="rId183"/>
    <hyperlink xmlns:r="http://schemas.openxmlformats.org/officeDocument/2006/relationships" ref="K185" display="Ouvrir" r:id="rId184"/>
    <hyperlink xmlns:r="http://schemas.openxmlformats.org/officeDocument/2006/relationships" ref="K186" display="Ouvrir" r:id="rId185"/>
    <hyperlink xmlns:r="http://schemas.openxmlformats.org/officeDocument/2006/relationships" ref="K187" display="Ouvrir" r:id="rId186"/>
    <hyperlink xmlns:r="http://schemas.openxmlformats.org/officeDocument/2006/relationships" ref="K188" display="Ouvrir" r:id="rId187"/>
    <hyperlink xmlns:r="http://schemas.openxmlformats.org/officeDocument/2006/relationships" ref="K189" display="Ouvrir" r:id="rId188"/>
    <hyperlink xmlns:r="http://schemas.openxmlformats.org/officeDocument/2006/relationships" ref="K190" display="Ouvrir" r:id="rId189"/>
    <hyperlink xmlns:r="http://schemas.openxmlformats.org/officeDocument/2006/relationships" ref="K191" display="Ouvrir" r:id="rId190"/>
    <hyperlink xmlns:r="http://schemas.openxmlformats.org/officeDocument/2006/relationships" ref="K192" display="Ouvrir" r:id="rId191"/>
    <hyperlink xmlns:r="http://schemas.openxmlformats.org/officeDocument/2006/relationships" ref="K193" display="Ouvrir" r:id="rId192"/>
    <hyperlink xmlns:r="http://schemas.openxmlformats.org/officeDocument/2006/relationships" ref="K194" display="Ouvrir" r:id="rId193"/>
    <hyperlink xmlns:r="http://schemas.openxmlformats.org/officeDocument/2006/relationships" ref="K195" display="Ouvrir" r:id="rId194"/>
    <hyperlink xmlns:r="http://schemas.openxmlformats.org/officeDocument/2006/relationships" ref="K196" display="Ouvrir" r:id="rId195"/>
    <hyperlink xmlns:r="http://schemas.openxmlformats.org/officeDocument/2006/relationships" ref="K197" display="Ouvrir" r:id="rId196"/>
    <hyperlink xmlns:r="http://schemas.openxmlformats.org/officeDocument/2006/relationships" ref="K198" display="Ouvrir" r:id="rId197"/>
    <hyperlink xmlns:r="http://schemas.openxmlformats.org/officeDocument/2006/relationships" ref="K199" display="Ouvrir" r:id="rId198"/>
    <hyperlink xmlns:r="http://schemas.openxmlformats.org/officeDocument/2006/relationships" ref="K200" display="Ouvrir" r:id="rId199"/>
    <hyperlink xmlns:r="http://schemas.openxmlformats.org/officeDocument/2006/relationships" ref="K201" display="Ouvrir" r:id="rId200"/>
    <hyperlink xmlns:r="http://schemas.openxmlformats.org/officeDocument/2006/relationships" ref="K202" display="Ouvrir" r:id="rId201"/>
    <hyperlink xmlns:r="http://schemas.openxmlformats.org/officeDocument/2006/relationships" ref="K203" display="Ouvrir" r:id="rId202"/>
    <hyperlink xmlns:r="http://schemas.openxmlformats.org/officeDocument/2006/relationships" ref="K204" display="Ouvrir" r:id="rId203"/>
    <hyperlink xmlns:r="http://schemas.openxmlformats.org/officeDocument/2006/relationships" ref="K205" display="Ouvrir" r:id="rId204"/>
    <hyperlink xmlns:r="http://schemas.openxmlformats.org/officeDocument/2006/relationships" ref="K206" display="Ouvrir" r:id="rId205"/>
    <hyperlink xmlns:r="http://schemas.openxmlformats.org/officeDocument/2006/relationships" ref="K207" display="Ouvrir" r:id="rId206"/>
    <hyperlink xmlns:r="http://schemas.openxmlformats.org/officeDocument/2006/relationships" ref="K208" display="Ouvrir" r:id="rId207"/>
    <hyperlink xmlns:r="http://schemas.openxmlformats.org/officeDocument/2006/relationships" ref="K209" display="Ouvrir" r:id="rId208"/>
    <hyperlink xmlns:r="http://schemas.openxmlformats.org/officeDocument/2006/relationships" ref="K210" display="Ouvrir" r:id="rId209"/>
    <hyperlink xmlns:r="http://schemas.openxmlformats.org/officeDocument/2006/relationships" ref="K211" display="Ouvrir" r:id="rId210"/>
    <hyperlink xmlns:r="http://schemas.openxmlformats.org/officeDocument/2006/relationships" ref="K212" display="Ouvrir" r:id="rId211"/>
    <hyperlink xmlns:r="http://schemas.openxmlformats.org/officeDocument/2006/relationships" ref="K213" display="Ouvrir" r:id="rId212"/>
    <hyperlink xmlns:r="http://schemas.openxmlformats.org/officeDocument/2006/relationships" ref="K214" display="Ouvrir" r:id="rId213"/>
    <hyperlink xmlns:r="http://schemas.openxmlformats.org/officeDocument/2006/relationships" ref="K215" display="Ouvrir" r:id="rId214"/>
    <hyperlink xmlns:r="http://schemas.openxmlformats.org/officeDocument/2006/relationships" ref="K216" display="Ouvrir" r:id="rId215"/>
    <hyperlink xmlns:r="http://schemas.openxmlformats.org/officeDocument/2006/relationships" ref="K217" display="Ouvrir" r:id="rId216"/>
    <hyperlink xmlns:r="http://schemas.openxmlformats.org/officeDocument/2006/relationships" ref="K218" display="Ouvrir" r:id="rId2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0" customWidth="1" style="26" min="1" max="1"/>
    <col width="12" customWidth="1" style="26" min="2" max="2"/>
    <col width="62" customWidth="1" style="26" min="3" max="3"/>
  </cols>
  <sheetData>
    <row r="1">
      <c r="A1" s="44" t="inlineStr">
        <is>
          <t>Répartition des angles</t>
        </is>
      </c>
    </row>
    <row r="3">
      <c r="A3" s="45" t="inlineStr">
        <is>
          <t>ANGLE</t>
        </is>
      </c>
      <c r="B3" s="25" t="inlineStr">
        <is>
          <t>CONTACTS</t>
        </is>
      </c>
      <c r="C3" s="46" t="inlineStr">
        <is>
          <t>CE QUE LE COURRIEL DOIT FAIRE</t>
        </is>
      </c>
    </row>
    <row r="4">
      <c r="A4" s="45" t="inlineStr">
        <is>
          <t>Angle A</t>
        </is>
      </c>
      <c r="B4" s="25" t="n">
        <v>34</v>
      </c>
      <c r="C4" s="46" t="inlineStr">
        <is>
          <t>Citer son article par titre et année dès la première phrase, puis dire ce qui a changé, y compris ce qui a mal tourné.</t>
        </is>
      </c>
    </row>
    <row r="5">
      <c r="A5" s="45" t="inlineStr">
        <is>
          <t>Angle B</t>
        </is>
      </c>
      <c r="B5" s="25" t="n">
        <v>35</v>
      </c>
      <c r="C5" s="46" t="inlineStr">
        <is>
          <t>Nommer la région dans l'objet. Un pupitre régional trie par toponyme.</t>
        </is>
      </c>
    </row>
    <row r="6">
      <c r="A6" s="45" t="inlineStr">
        <is>
          <t>Angle C</t>
        </is>
      </c>
      <c r="B6" s="25" t="n">
        <v>32</v>
      </c>
      <c r="C6" s="46" t="inlineStr">
        <is>
          <t>Poser la vraie question : y a-t-il enfin un acheteur stable au bout du champ. Ne rien promettre en volumes.</t>
        </is>
      </c>
    </row>
    <row r="7">
      <c r="A7" s="45" t="inlineStr">
        <is>
          <t>Angle D</t>
        </is>
      </c>
      <c r="B7" s="25" t="n">
        <v>45</v>
      </c>
      <c r="C7" s="46" t="inlineStr">
        <is>
          <t>Conservation par le débouché économique. Dire soi-même qu'un achat ne sauve pas un papillon.</t>
        </is>
      </c>
    </row>
    <row r="8">
      <c r="A8" s="45" t="inlineStr">
        <is>
          <t>Angle E</t>
        </is>
      </c>
      <c r="B8" s="25" t="n">
        <v>26</v>
      </c>
      <c r="C8" s="46" t="inlineStr">
        <is>
          <t>Rapatrier puis délocaliser en partie. Aucun chiffre financier sans autorisation de Gabriel.</t>
        </is>
      </c>
    </row>
    <row r="9">
      <c r="A9" s="45" t="inlineStr">
        <is>
          <t>Angle F</t>
        </is>
      </c>
      <c r="B9" s="25" t="n">
        <v>20</v>
      </c>
      <c r="C9" s="46" t="inlineStr">
        <is>
          <t>Offrir de tester. Le 10 % plus isolant que le duvet est un repère de laboratoire, jamais une promesse.</t>
        </is>
      </c>
    </row>
    <row r="10">
      <c r="A10" s="45" t="inlineStr">
        <is>
          <t>Angle G</t>
        </is>
      </c>
      <c r="B10" s="25" t="n">
        <v>21</v>
      </c>
      <c r="C10" s="46" t="inlineStr">
        <is>
          <t>Le contraste visuel : gousse, soie, manteau porté. Jamais « fabriqué au Québec » sur un produit fini.</t>
        </is>
      </c>
    </row>
    <row r="11">
      <c r="A11" s="47" t="inlineStr">
        <is>
          <t>Angle H</t>
        </is>
      </c>
      <c r="C11" s="46" t="inlineStr">
        <is>
          <t>Commencer par la plante, pas par le Québec. Lasclay arrive en troisième phrase.</t>
        </is>
      </c>
    </row>
    <row r="12">
      <c r="A12" s="45" t="inlineStr">
        <is>
          <t>Angle I</t>
        </is>
      </c>
      <c r="B12" s="25" t="n">
        <v>39</v>
      </c>
      <c r="C12" s="46" t="inlineStr">
        <is>
          <t>Trois lignes. Disponibilité en clair. Ils veulent un invité, pas un communiqué.</t>
        </is>
      </c>
    </row>
    <row r="13">
      <c r="A13" s="45" t="inlineStr">
        <is>
          <t>Angle J</t>
        </is>
      </c>
      <c r="B13" s="25" t="n">
        <v>2</v>
      </c>
      <c r="C13" s="46" t="inlineStr">
        <is>
          <t>Citer sa propre couverture de la filière, pas celle de Lasclay. Il connaît le dossier mieux que la moyenne : ne rien lui expliquer qu'il sait déjà.</t>
        </is>
      </c>
    </row>
    <row r="15">
      <c r="A15" s="44" t="inlineStr">
        <is>
          <t>Vagues du chiffrier</t>
        </is>
      </c>
    </row>
    <row r="17">
      <c r="A17" s="45" t="inlineStr">
        <is>
          <t>Maintenant → 2 sept.</t>
        </is>
      </c>
      <c r="B17" s="25" t="inlineStr">
        <is>
          <t>34</t>
        </is>
      </c>
      <c r="C17" s="46" t="inlineStr">
        <is>
          <t>Liste chaude. Écrits à la main, un par un. Angle A sauf exceptions.</t>
        </is>
      </c>
    </row>
    <row r="18">
      <c r="A18" s="45" t="inlineStr">
        <is>
          <t>3 → 5 sept.</t>
        </is>
      </c>
      <c r="B18" s="25" t="inlineStr">
        <is>
          <t>71</t>
        </is>
      </c>
      <c r="C18" s="46" t="inlineStr">
        <is>
          <t>Froide A. Environ 60 messages par jour, première ligne réellement différente.</t>
        </is>
      </c>
    </row>
    <row r="19">
      <c r="A19" s="45" t="inlineStr">
        <is>
          <t>8 → 9 sept.</t>
        </is>
      </c>
      <c r="B19" s="25" t="inlineStr">
        <is>
          <t>53</t>
        </is>
      </c>
      <c r="C19" s="46" t="inlineStr">
        <is>
          <t>Froide B.</t>
        </is>
      </c>
    </row>
    <row r="20">
      <c r="A20" s="45" t="inlineStr">
        <is>
          <t>12 sept., 9 h</t>
        </is>
      </c>
      <c r="B20" s="25" t="inlineStr">
        <is>
          <t>—</t>
        </is>
      </c>
      <c r="C20" s="46" t="inlineStr">
        <is>
          <t>Ouverture de la prévente. Klaviyo vers les clients, jamais vers ces listes.</t>
        </is>
      </c>
    </row>
    <row r="21">
      <c r="A21" s="45" t="inlineStr">
        <is>
          <t>15 → 16 sept.</t>
        </is>
      </c>
      <c r="B21" s="25" t="inlineStr">
        <is>
          <t>93</t>
        </is>
      </c>
      <c r="C21" s="46" t="inlineStr">
        <is>
          <t>Froide C, seulement s'il reste du souffle.</t>
        </is>
      </c>
    </row>
    <row r="22">
      <c r="A22" s="45" t="inlineStr">
        <is>
          <t>17 sept., 20 h</t>
        </is>
      </c>
      <c r="B22" s="25" t="inlineStr">
        <is>
          <t>—</t>
        </is>
      </c>
      <c r="C22" s="46" t="inlineStr">
        <is>
          <t>Diffusion. Relance le 18 au matin : la confidentialité tombe, le sujet devient vérifiable.</t>
        </is>
      </c>
    </row>
    <row r="24">
      <c r="A24" s="44" t="inlineStr">
        <is>
          <t>Règles d'envoi</t>
        </is>
      </c>
    </row>
    <row r="26">
      <c r="A26" s="47" t="inlineStr">
        <is>
          <t>Canal</t>
        </is>
      </c>
      <c r="C26" s="46" t="inlineStr">
        <is>
          <t>Missive depuis media@lasclay.com, un message à la fois. Jamais Klaviyo : des rebonds sur adresses froides dégraderaient mail.lasclay.com, le domaine qui doit livrer l'infolettre de prévente.</t>
        </is>
      </c>
    </row>
    <row r="27">
      <c r="A27" s="47" t="inlineStr">
        <is>
          <t>Suivi</t>
        </is>
      </c>
      <c r="C27" s="46" t="inlineStr">
        <is>
          <t>Désactiver le suivi des ouvertures et des clics. Le pixel n'apporte rien et plusieurs journalistes le voient mal.</t>
        </is>
      </c>
    </row>
    <row r="28">
      <c r="A28" s="47" t="inlineStr">
        <is>
          <t>Rythme</t>
        </is>
      </c>
      <c r="C28" s="46" t="inlineStr">
        <is>
          <t>Environ 60 par jour. 217 messages quasi identiques en dix minutes se comportent comme du publipostage aux yeux des filtres.</t>
        </is>
      </c>
    </row>
    <row r="29">
      <c r="A29" s="47" t="inlineStr">
        <is>
          <t>LCAP</t>
        </is>
      </c>
      <c r="C29" s="46" t="inlineStr">
        <is>
          <t>Sollicitation de presse ciblée vers une adresse professionnelle publiée : couvert. Les adresses personnelles de pigistes exigent un message vraiment individualisé.</t>
        </is>
      </c>
    </row>
    <row r="30">
      <c r="A30" s="47" t="inlineStr">
        <is>
          <t>Interdit</t>
        </is>
      </c>
      <c r="C30" s="46" t="inlineStr">
        <is>
          <t>Ajouter ces contacts à une liste de diffusion, leur envoyer une infolettre, ou écrire sans objet journalistique réel.</t>
        </is>
      </c>
    </row>
    <row r="31">
      <c r="A31" s="47" t="inlineStr">
        <is>
          <t>CBC</t>
        </is>
      </c>
      <c r="C31" s="46" t="inlineStr">
        <is>
          <t>Rien sur l'issue avant le 17. Aucun logo ni « vu à Dragons' Den ». alicia.chirrey@cbc.ca et kylee.habrowski@cbc.ca sont la production, pas la salle de nouvelles : ne pas les solliciter.</t>
        </is>
      </c>
    </row>
  </sheetData>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D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6" customWidth="1" style="25" min="1" max="1"/>
    <col width="14" customWidth="1" style="25" min="2" max="4"/>
  </cols>
  <sheetData>
    <row r="1" ht="17.35" customHeight="1" s="26">
      <c r="A1" s="48" t="inlineStr">
        <is>
          <t>Sommaire et suivi</t>
        </is>
      </c>
    </row>
    <row r="2" ht="15" customHeight="1" s="26">
      <c r="A2" s="49" t="inlineStr">
        <is>
          <t>Les nombres se recalculent seuls à mesure que tu remplis la colonne « Envoyé le ».</t>
        </is>
      </c>
    </row>
    <row r="4" ht="15" customHeight="1" s="26">
      <c r="A4" s="50" t="inlineStr">
        <is>
          <t>LISTE</t>
        </is>
      </c>
      <c r="B4" s="50" t="inlineStr">
        <is>
          <t>CONTACTS</t>
        </is>
      </c>
      <c r="C4" s="50" t="inlineStr">
        <is>
          <t>ENVOYÉS</t>
        </is>
      </c>
      <c r="D4" s="50" t="inlineStr">
        <is>
          <t>RESTANTS</t>
        </is>
      </c>
    </row>
    <row r="5" ht="15" customHeight="1" s="26">
      <c r="A5" s="51" t="inlineStr">
        <is>
          <t>Chaude — vague 1</t>
        </is>
      </c>
      <c r="B5" s="51">
        <f>COUNTA('Liste chaude (34)'!C2:C35)</f>
        <v/>
      </c>
      <c r="C5" s="51">
        <f>COUNTA('Liste chaude (34)'!H2:H35)</f>
        <v/>
      </c>
      <c r="D5" s="51">
        <f>B5-C5</f>
        <v/>
      </c>
    </row>
    <row r="6" ht="15" customHeight="1" s="26">
      <c r="A6" s="51" t="inlineStr">
        <is>
          <t>Froide A — vague 2</t>
        </is>
      </c>
      <c r="B6" s="51">
        <f>COUNTIF('Liste froide FPJQ (217)'!A2:A218,"A")</f>
        <v/>
      </c>
      <c r="C6" s="51">
        <f>COUNTIFS('Liste froide FPJQ (217)'!A2:A218,"A",'Liste froide FPJQ (217)'!L2:L218,"&lt;&gt;")</f>
        <v/>
      </c>
      <c r="D6" s="51">
        <f>B6-C6</f>
        <v/>
      </c>
    </row>
    <row r="7" ht="15" customHeight="1" s="26">
      <c r="A7" s="51" t="inlineStr">
        <is>
          <t>Froide B — vague 3</t>
        </is>
      </c>
      <c r="B7" s="51">
        <f>COUNTIF('Liste froide FPJQ (217)'!A2:A218,"B")</f>
        <v/>
      </c>
      <c r="C7" s="51">
        <f>COUNTIFS('Liste froide FPJQ (217)'!A2:A218,"B",'Liste froide FPJQ (217)'!L2:L218,"&lt;&gt;")</f>
        <v/>
      </c>
      <c r="D7" s="51">
        <f>B7-C7</f>
        <v/>
      </c>
    </row>
    <row r="8" ht="15" customHeight="1" s="26">
      <c r="A8" s="51" t="inlineStr">
        <is>
          <t>Froide C — vague 4</t>
        </is>
      </c>
      <c r="B8" s="51">
        <f>COUNTIF('Liste froide FPJQ (217)'!A2:A218,"C")</f>
        <v/>
      </c>
      <c r="C8" s="51">
        <f>COUNTIFS('Liste froide FPJQ (217)'!A2:A218,"C",'Liste froide FPJQ (217)'!L2:L218,"&lt;&gt;")</f>
        <v/>
      </c>
      <c r="D8" s="51">
        <f>B8-C8</f>
        <v/>
      </c>
    </row>
    <row r="9" ht="15" customHeight="1" s="26">
      <c r="A9" s="52" t="inlineStr">
        <is>
          <t>TOTAL</t>
        </is>
      </c>
      <c r="B9" s="52">
        <f>SUM(B5:B8)</f>
        <v/>
      </c>
      <c r="C9" s="52">
        <f>SUM(C5:C8)</f>
        <v/>
      </c>
      <c r="D9" s="52">
        <f>SUM(D5:D8)</f>
        <v/>
      </c>
    </row>
    <row r="11" ht="15" customHeight="1" s="26">
      <c r="A11" s="53" t="inlineStr">
        <is>
          <t>Calendrier suggéré</t>
        </is>
      </c>
    </row>
    <row r="12" ht="15" customHeight="1" s="26">
      <c r="A12" s="54" t="inlineStr">
        <is>
          <t>Maintenant → 2 sept.</t>
        </is>
      </c>
      <c r="B12" s="55" t="inlineStr">
        <is>
          <t>Liste chaude (34) — message écrit à la main, un par un.</t>
        </is>
      </c>
    </row>
    <row r="13" ht="15" customHeight="1" s="26">
      <c r="A13" s="54" t="inlineStr">
        <is>
          <t>3 → 5 sept.</t>
        </is>
      </c>
      <c r="B13" s="55" t="inlineStr">
        <is>
          <t>Froide A (71) — les plus susceptibles de couvrir.</t>
        </is>
      </c>
    </row>
    <row r="14" ht="15" customHeight="1" s="26">
      <c r="A14" s="54" t="inlineStr">
        <is>
          <t>8 → 9 sept.</t>
        </is>
      </c>
      <c r="B14" s="55" t="inlineStr">
        <is>
          <t>Froide B (53).</t>
        </is>
      </c>
    </row>
    <row r="15" ht="15" customHeight="1" s="26">
      <c r="A15" s="54" t="inlineStr">
        <is>
          <t>12 sept., 9 h</t>
        </is>
      </c>
      <c r="B15" s="55" t="inlineStr">
        <is>
          <t>Ouverture de la prévente. Infolettre clients par Klaviyo, pas les médias.</t>
        </is>
      </c>
    </row>
    <row r="16" ht="15" customHeight="1" s="26">
      <c r="A16" s="54" t="inlineStr">
        <is>
          <t>15 → 16 sept.</t>
        </is>
      </c>
      <c r="B16" s="55" t="inlineStr">
        <is>
          <t>Froide C (93), seulement s'il reste du souffle.</t>
        </is>
      </c>
    </row>
    <row r="17" ht="15" customHeight="1" s="26">
      <c r="A17" s="54" t="inlineStr">
        <is>
          <t>17 sept., 20 h</t>
        </is>
      </c>
      <c r="B17" s="55" t="inlineStr">
        <is>
          <t>Diffusion Dragons' Den (CBC / CBC Gem). Relance le lendemain matin auprès de ceux qui ont répondu.</t>
        </is>
      </c>
    </row>
  </sheetData>
  <mergeCells count="6">
    <mergeCell ref="B14:D14"/>
    <mergeCell ref="B17:D17"/>
    <mergeCell ref="B13:D13"/>
    <mergeCell ref="B12:D12"/>
    <mergeCell ref="B15:D15"/>
    <mergeCell ref="B16:D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40" customWidth="1" style="26" min="1" max="1"/>
    <col width="24" customWidth="1" style="26" min="2" max="2"/>
    <col width="30" customWidth="1" style="26" min="3" max="3"/>
    <col width="24" customWidth="1" style="26" min="4" max="4"/>
    <col width="7" customWidth="1" style="26" min="5" max="5"/>
    <col width="44" customWidth="1" style="26" min="6" max="6"/>
    <col width="38" customWidth="1" style="26" min="7" max="7"/>
    <col width="12" customWidth="1" style="26" min="8" max="8"/>
    <col width="12" customWidth="1" style="26" min="9" max="9"/>
    <col width="100" customWidth="1" style="26" min="10" max="10"/>
  </cols>
  <sheetData>
    <row r="1">
      <c r="A1" s="57" t="inlineStr">
        <is>
          <t>Courriel</t>
        </is>
      </c>
      <c r="B1" s="57" t="inlineStr">
        <is>
          <t>Nom</t>
        </is>
      </c>
      <c r="C1" s="57" t="inlineStr">
        <is>
          <t>Média</t>
        </is>
      </c>
      <c r="D1" s="57" t="inlineStr">
        <is>
          <t>Rôle</t>
        </is>
      </c>
      <c r="E1" s="57" t="inlineStr">
        <is>
          <t>Angle</t>
        </is>
      </c>
      <c r="F1" s="57" t="inlineStr">
        <is>
          <t>Objet</t>
        </is>
      </c>
      <c r="G1" s="57" t="inlineStr">
        <is>
          <t>Source de l'adresse</t>
        </is>
      </c>
      <c r="H1" s="57" t="inlineStr">
        <is>
          <t>Envoyé le</t>
        </is>
      </c>
      <c r="I1" s="57" t="inlineStr">
        <is>
          <t>Réponse</t>
        </is>
      </c>
      <c r="J1" s="57" t="inlineStr">
        <is>
          <t>Brouillon</t>
        </is>
      </c>
    </row>
    <row r="2" ht="200" customHeight="1" s="26">
      <c r="A2" s="46" t="inlineStr">
        <is>
          <t>johanne.j.lapierre@radio-canada.ca</t>
        </is>
      </c>
      <c r="B2" s="46" t="inlineStr">
        <is>
          <t>Johanne Lapierre</t>
        </is>
      </c>
      <c r="C2" s="46" t="inlineStr">
        <is>
          <t>La Semaine verte (Radio-Canada)</t>
        </is>
      </c>
      <c r="D2" s="46" t="inlineStr">
        <is>
          <t>Rédactrice en chef</t>
        </is>
      </c>
      <c r="E2" s="46" t="inlineStr">
        <is>
          <t>C</t>
        </is>
      </c>
      <c r="F2" s="46" t="inlineStr">
        <is>
          <t>L'asclépiade à Dragons' Den le 17 sept!</t>
        </is>
      </c>
      <c r="G2" s="46" t="inlineStr">
        <is>
          <t>ici.radio-canada.ca/tele/la-semaine-verte</t>
        </is>
      </c>
      <c r="H2" s="46" t="inlineStr">
        <is>
          <t>2026-09-16 10:27</t>
        </is>
      </c>
      <c r="I2" s="46" t="n"/>
      <c r="J2" s="46" t="inlineStr">
        <is>
          <t>Bonjour Johanne,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3" ht="200" customHeight="1" s="26">
      <c r="A3" s="46" t="inlineStr">
        <is>
          <t>catherine.mercier@radio-canada.ca</t>
        </is>
      </c>
      <c r="B3" s="46" t="inlineStr">
        <is>
          <t>Catherine Mercier</t>
        </is>
      </c>
      <c r="C3" s="46" t="inlineStr">
        <is>
          <t>La Semaine verte (Radio-Canada)</t>
        </is>
      </c>
      <c r="D3" s="46" t="inlineStr">
        <is>
          <t>Animatrice</t>
        </is>
      </c>
      <c r="E3" s="46" t="inlineStr">
        <is>
          <t>C</t>
        </is>
      </c>
      <c r="F3" s="46" t="inlineStr">
        <is>
          <t>L'asclépiade à Dragons' Den le 17 sept!</t>
        </is>
      </c>
      <c r="G3" s="46" t="inlineStr">
        <is>
          <t>ici.radio-canada.ca/tele/la-semaine-verte</t>
        </is>
      </c>
      <c r="H3" s="46" t="inlineStr">
        <is>
          <t>2026-09-16 10:28</t>
        </is>
      </c>
      <c r="I3" s="46" t="n"/>
      <c r="J3" s="46" t="inlineStr">
        <is>
          <t>Bonjour Catherine,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4" ht="200" customHeight="1" s="26">
      <c r="A4" s="46" t="inlineStr">
        <is>
          <t>france.beaudoin@radio-canada.ca</t>
        </is>
      </c>
      <c r="B4" s="46" t="inlineStr">
        <is>
          <t>France Beaudoin</t>
        </is>
      </c>
      <c r="C4" s="46" t="inlineStr">
        <is>
          <t>La Semaine verte (Radio-Canada)</t>
        </is>
      </c>
      <c r="D4" s="46" t="inlineStr">
        <is>
          <t>Journaliste</t>
        </is>
      </c>
      <c r="E4" s="46" t="inlineStr">
        <is>
          <t>C</t>
        </is>
      </c>
      <c r="F4" s="46" t="inlineStr">
        <is>
          <t>L'asclépiade à Dragons' Den le 17 sept!</t>
        </is>
      </c>
      <c r="G4" s="46" t="inlineStr">
        <is>
          <t>ici.radio-canada.ca/tele/la-semaine-verte</t>
        </is>
      </c>
      <c r="H4" s="46" t="inlineStr">
        <is>
          <t>2026-09-16 10:28</t>
        </is>
      </c>
      <c r="I4" s="46" t="n"/>
      <c r="J4" s="46" t="inlineStr">
        <is>
          <t>Bonjour France,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5" ht="200" customHeight="1" s="26">
      <c r="A5" s="46" t="inlineStr">
        <is>
          <t>gilbert.begin@radio-canada.ca</t>
        </is>
      </c>
      <c r="B5" s="46" t="inlineStr">
        <is>
          <t>Gilbert Bégin</t>
        </is>
      </c>
      <c r="C5" s="46" t="inlineStr">
        <is>
          <t>La Semaine verte (Radio-Canada)</t>
        </is>
      </c>
      <c r="D5" s="46" t="inlineStr">
        <is>
          <t>Journaliste</t>
        </is>
      </c>
      <c r="E5" s="46" t="inlineStr">
        <is>
          <t>C</t>
        </is>
      </c>
      <c r="F5" s="46" t="inlineStr">
        <is>
          <t>L'asclépiade à Dragons' Den le 17 sept!</t>
        </is>
      </c>
      <c r="G5" s="46" t="inlineStr">
        <is>
          <t>ici.radio-canada.ca/tele/la-semaine-verte</t>
        </is>
      </c>
      <c r="H5" s="46" t="inlineStr">
        <is>
          <t>2026-09-16 10:29</t>
        </is>
      </c>
      <c r="I5" s="46" t="n"/>
      <c r="J5" s="46" t="inlineStr">
        <is>
          <t>Bonjour Gilbert,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6" ht="200" customHeight="1" s="26">
      <c r="A6" s="46" t="inlineStr">
        <is>
          <t>carine.monat@radio-canada.ca</t>
        </is>
      </c>
      <c r="B6" s="46" t="inlineStr">
        <is>
          <t>Carine Monat</t>
        </is>
      </c>
      <c r="C6" s="46" t="inlineStr">
        <is>
          <t>La Semaine verte (Radio-Canada)</t>
        </is>
      </c>
      <c r="D6" s="46" t="inlineStr">
        <is>
          <t>Journaliste</t>
        </is>
      </c>
      <c r="E6" s="46" t="inlineStr">
        <is>
          <t>C</t>
        </is>
      </c>
      <c r="F6" s="46" t="inlineStr">
        <is>
          <t>L'asclépiade à Dragons' Den le 17 sept!</t>
        </is>
      </c>
      <c r="G6" s="46" t="inlineStr">
        <is>
          <t>ici.radio-canada.ca/tele/la-semaine-verte</t>
        </is>
      </c>
      <c r="H6" s="46" t="inlineStr">
        <is>
          <t>2026-09-16 10:29</t>
        </is>
      </c>
      <c r="I6" s="46" t="n"/>
      <c r="J6" s="46" t="inlineStr">
        <is>
          <t>Bonjour Carine,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7" ht="200" customHeight="1" s="26">
      <c r="A7" s="46" t="inlineStr">
        <is>
          <t>maxime.poire@radio-canada.ca</t>
        </is>
      </c>
      <c r="B7" s="46" t="inlineStr">
        <is>
          <t>Maxime Poiré</t>
        </is>
      </c>
      <c r="C7" s="46" t="inlineStr">
        <is>
          <t>La Semaine verte (Radio-Canada)</t>
        </is>
      </c>
      <c r="D7" s="46" t="inlineStr">
        <is>
          <t>Journaliste</t>
        </is>
      </c>
      <c r="E7" s="46" t="inlineStr">
        <is>
          <t>C</t>
        </is>
      </c>
      <c r="F7" s="46" t="inlineStr">
        <is>
          <t>L'asclépiade à Dragons' Den le 17 sept!</t>
        </is>
      </c>
      <c r="G7" s="46" t="inlineStr">
        <is>
          <t>ici.radio-canada.ca/tele/la-semaine-verte</t>
        </is>
      </c>
      <c r="H7" s="46" t="inlineStr">
        <is>
          <t>2026-09-16 10:30</t>
        </is>
      </c>
      <c r="I7" s="46" t="n"/>
      <c r="J7" s="46" t="inlineStr">
        <is>
          <t>Bonjour Maxime,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8" ht="200" customHeight="1" s="26">
      <c r="A8" s="46" t="inlineStr">
        <is>
          <t>marie-maude.pontbriand@radio-canada.ca</t>
        </is>
      </c>
      <c r="B8" s="46" t="inlineStr">
        <is>
          <t>Marie Maude Pontbriand</t>
        </is>
      </c>
      <c r="C8" s="46" t="inlineStr">
        <is>
          <t>La Semaine verte (Radio-Canada)</t>
        </is>
      </c>
      <c r="D8" s="46" t="inlineStr">
        <is>
          <t>Journaliste</t>
        </is>
      </c>
      <c r="E8" s="46" t="inlineStr">
        <is>
          <t>C</t>
        </is>
      </c>
      <c r="F8" s="46" t="inlineStr">
        <is>
          <t>L'asclépiade à Dragons' Den le 17 sept!</t>
        </is>
      </c>
      <c r="G8" s="46" t="inlineStr">
        <is>
          <t>ici.radio-canada.ca/tele/la-semaine-verte</t>
        </is>
      </c>
      <c r="H8" s="46" t="inlineStr">
        <is>
          <t>2026-09-16 10:30</t>
        </is>
      </c>
      <c r="I8" s="46" t="n"/>
      <c r="J8" s="46" t="inlineStr">
        <is>
          <t>Bonjour Marie,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9" ht="200" customHeight="1" s="26">
      <c r="A9" s="46" t="inlineStr">
        <is>
          <t>julie.vaillancourt@radio-canada.ca</t>
        </is>
      </c>
      <c r="B9" s="46" t="inlineStr">
        <is>
          <t>Julie Vaillancourt</t>
        </is>
      </c>
      <c r="C9" s="46" t="inlineStr">
        <is>
          <t>La Semaine verte (Radio-Canada)</t>
        </is>
      </c>
      <c r="D9" s="46" t="inlineStr">
        <is>
          <t>Journaliste</t>
        </is>
      </c>
      <c r="E9" s="46" t="inlineStr">
        <is>
          <t>C</t>
        </is>
      </c>
      <c r="F9" s="46" t="inlineStr">
        <is>
          <t>L'asclépiade à Dragons' Den le 17 sept!</t>
        </is>
      </c>
      <c r="G9" s="46" t="inlineStr">
        <is>
          <t>ici.radio-canada.ca/tele/la-semaine-verte</t>
        </is>
      </c>
      <c r="H9" s="46" t="inlineStr">
        <is>
          <t>2026-09-16 10:31</t>
        </is>
      </c>
      <c r="I9" s="46" t="n"/>
      <c r="J9" s="46" t="inlineStr">
        <is>
          <t>Bonjour Julie,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0" ht="200" customHeight="1" s="26">
      <c r="A10" s="46" t="inlineStr">
        <is>
          <t>marc-yvan.hebert@radio-canada.ca</t>
        </is>
      </c>
      <c r="B10" s="46" t="inlineStr">
        <is>
          <t>Marc-Yvan Hébert</t>
        </is>
      </c>
      <c r="C10" s="46" t="inlineStr">
        <is>
          <t>La Semaine verte (Radio-Canada)</t>
        </is>
      </c>
      <c r="D10" s="46" t="inlineStr">
        <is>
          <t>Journaliste-réalisateur</t>
        </is>
      </c>
      <c r="E10" s="46" t="inlineStr">
        <is>
          <t>C</t>
        </is>
      </c>
      <c r="F10" s="46" t="inlineStr">
        <is>
          <t>L'asclépiade à Dragons' Den le 17 sept!</t>
        </is>
      </c>
      <c r="G10" s="46" t="inlineStr">
        <is>
          <t>ici.radio-canada.ca/tele/la-semaine-verte</t>
        </is>
      </c>
      <c r="H10" s="46" t="inlineStr">
        <is>
          <t>2026-09-16 10:31</t>
        </is>
      </c>
      <c r="I10" s="46" t="n"/>
      <c r="J10" s="46" t="inlineStr">
        <is>
          <t>Bonjour Marc-Yvan,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1" ht="200" customHeight="1" s="26">
      <c r="A11" s="46" t="inlineStr">
        <is>
          <t>benoit.livernoche@radio-canada.ca</t>
        </is>
      </c>
      <c r="B11" s="46" t="inlineStr">
        <is>
          <t>Benoit Livernoche</t>
        </is>
      </c>
      <c r="C11" s="46" t="inlineStr">
        <is>
          <t>La Semaine verte (Radio-Canada)</t>
        </is>
      </c>
      <c r="D11" s="46" t="inlineStr">
        <is>
          <t>Journaliste-réalisateur</t>
        </is>
      </c>
      <c r="E11" s="46" t="inlineStr">
        <is>
          <t>C</t>
        </is>
      </c>
      <c r="F11" s="46" t="inlineStr">
        <is>
          <t>L'asclépiade à Dragons' Den le 17 sept!</t>
        </is>
      </c>
      <c r="G11" s="46" t="inlineStr">
        <is>
          <t>ici.radio-canada.ca/tele/la-semaine-verte</t>
        </is>
      </c>
      <c r="H11" s="46" t="inlineStr">
        <is>
          <t>2026-09-16 10:32</t>
        </is>
      </c>
      <c r="I11" s="46" t="n"/>
      <c r="J11" s="46" t="inlineStr">
        <is>
          <t>Bonjour Benoit,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est une histoire agricole avec une date de rupture. Le groupe Protec-Style, qui exploitait l'usine de Saint-Tite sous le nom d'Encore 3 et avait réservé 90 % de la récolte québécoise, a fait faillite [le 11 octobre 2017](https://ici.radio-canada.ca/nouvelle/1061543/asclepiade-soyer-producteurs-industries-encore3-faillite-monark). Les 125 producteurs de la Coopérative Monark se sont retrouvés sans acheteur, et la question n'a pas changé depuis : y a-t-il quelqu'un au bout du champ.
Nous, on achète encore. Sabin Tremblay, à L'Ascension-de-Notre-Seigneur, cultive pour nous depuis nos tout débuts, et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2" ht="200" customHeight="1" s="26">
      <c r="A12" s="46" t="inlineStr">
        <is>
          <t>nouvelles@tva.ca</t>
        </is>
      </c>
      <c r="B12" s="46" t="inlineStr">
        <is>
          <t>TVA Nouvelles</t>
        </is>
      </c>
      <c r="C12" s="46" t="inlineStr">
        <is>
          <t>TVA Nouvelles</t>
        </is>
      </c>
      <c r="D12" s="46" t="inlineStr">
        <is>
          <t>Pupitre national</t>
        </is>
      </c>
      <c r="E12" s="46" t="inlineStr">
        <is>
          <t>I</t>
        </is>
      </c>
      <c r="F12" s="46" t="inlineStr">
        <is>
          <t>L'asclépiade à Dragons' Den le 17 sept!</t>
        </is>
      </c>
      <c r="G12" s="46" t="inlineStr">
        <is>
          <t>tvanouvelles.ca/nous-joindre</t>
        </is>
      </c>
      <c r="H12" s="46" t="inlineStr">
        <is>
          <t>2026-09-16 10:32</t>
        </is>
      </c>
      <c r="I12" s="46" t="n"/>
      <c r="J12"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3" ht="200" customHeight="1" s="26">
      <c r="A13" s="46" t="inlineStr">
        <is>
          <t>nouvelles.quebec@tva.ca</t>
        </is>
      </c>
      <c r="B13" s="46" t="inlineStr">
        <is>
          <t>TVA Québec</t>
        </is>
      </c>
      <c r="C13" s="46" t="inlineStr">
        <is>
          <t>TVA Québec</t>
        </is>
      </c>
      <c r="D13" s="46" t="inlineStr">
        <is>
          <t>Pupitre de Québec</t>
        </is>
      </c>
      <c r="E13" s="46" t="inlineStr">
        <is>
          <t>I</t>
        </is>
      </c>
      <c r="F13" s="46" t="inlineStr">
        <is>
          <t>L'asclépiade à Dragons' Den le 17 sept!</t>
        </is>
      </c>
      <c r="G13" s="46" t="inlineStr">
        <is>
          <t>tvanouvelles.ca/nous-joindre</t>
        </is>
      </c>
      <c r="H13" s="46" t="inlineStr">
        <is>
          <t>2026-09-16 10:33</t>
        </is>
      </c>
      <c r="I13" s="46" t="n"/>
      <c r="J13"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Notre atelier est à Québec, et c'est là que la soie d'asclépiade devient de l'isolant.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4" ht="200" customHeight="1" s="26">
      <c r="A14" s="46" t="inlineStr">
        <is>
          <t>nouvelles.cjpm@tva.ca</t>
        </is>
      </c>
      <c r="B14" s="46" t="inlineStr">
        <is>
          <t>TVA Saguenay</t>
        </is>
      </c>
      <c r="C14" s="46" t="inlineStr">
        <is>
          <t>TVA Saguenay</t>
        </is>
      </c>
      <c r="D14" s="46" t="inlineStr">
        <is>
          <t>Pupitre du Saguenay</t>
        </is>
      </c>
      <c r="E14" s="46" t="inlineStr">
        <is>
          <t>I</t>
        </is>
      </c>
      <c r="F14" s="46" t="inlineStr">
        <is>
          <t>L'asclépiade à Dragons' Den le 17 sept!</t>
        </is>
      </c>
      <c r="G14" s="46" t="inlineStr">
        <is>
          <t>tvanouvelles.ca/nous-joindre</t>
        </is>
      </c>
      <c r="H14" s="46" t="inlineStr">
        <is>
          <t>2026-09-16 10:33</t>
        </is>
      </c>
      <c r="I14" s="46" t="n"/>
      <c r="J14"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Sabin Tremblay, à L'Ascension-de-Notre-Seigneur, cultive de l'asclépiade pour nous depuis nos tout débuts, et qu'il en cultive encore. Je vais l'aider à récolter le 4 octobre. S'il y a un reportage à faire, il est là autant qu'ici.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5" ht="200" customHeight="1" s="26">
      <c r="A15" s="46" t="inlineStr">
        <is>
          <t>nouvelles.chem@tva.ca</t>
        </is>
      </c>
      <c r="B15" s="46" t="inlineStr">
        <is>
          <t>TVA Trois-Rivières</t>
        </is>
      </c>
      <c r="C15" s="46" t="inlineStr">
        <is>
          <t>TVA Trois-Rivières</t>
        </is>
      </c>
      <c r="D15" s="46" t="inlineStr">
        <is>
          <t>Pupitre de la Mauricie</t>
        </is>
      </c>
      <c r="E15" s="46" t="inlineStr">
        <is>
          <t>I</t>
        </is>
      </c>
      <c r="F15" s="46" t="inlineStr">
        <is>
          <t>L'asclépiade à Dragons' Den le 17 sept!</t>
        </is>
      </c>
      <c r="G15" s="46" t="inlineStr">
        <is>
          <t>tvanouvelles.ca/nous-joindre</t>
        </is>
      </c>
      <c r="H15" s="46" t="inlineStr">
        <is>
          <t>2026-09-16 10:34</t>
        </is>
      </c>
      <c r="I15" s="46" t="n"/>
      <c r="J15"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l'asclépiade a commencé chez vous, à Saint-Tite et dans Mékinac. Le groupe Protec-Style, qui exploitait l'usine de Saint-Tite sous le nom d'Encore 3, avait réservé 90 % de la récolte québécoise quand il a fait faillite [le 11 octobre 2017](https://ici.radio-canada.ca/nouvelle/1061543/asclepiade-soyer-producteurs-industries-encore3-faillite-monark), emportant Saint-Tite et son atelier de Granby. Les 125 producteurs de la Coopérative Monark ont pris le choc. Six semaines plus tard, [la MRC de Mékinac a fait pencher la relance](https://lenouvelliste.ca/affaires/asclepiade-les-activites-reprennent-a-lusine-de-saint-tite-9a7c0d08d77c81c7ab22fdfc8e47a922).
Neuf ans après, on achète encore de l'asclépiade québécoise et on la transforme nous-mêmes à Québec. Ce jeudi, c'est cette plante-là que je vais défendre à la télévision nationale.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6" ht="200" customHeight="1" s="26">
      <c r="A16" s="46" t="inlineStr">
        <is>
          <t>nouvelles.sherbrooke@tva.ca</t>
        </is>
      </c>
      <c r="B16" s="46" t="inlineStr">
        <is>
          <t>TVA Sherbrooke</t>
        </is>
      </c>
      <c r="C16" s="46" t="inlineStr">
        <is>
          <t>TVA Sherbrooke</t>
        </is>
      </c>
      <c r="D16" s="46" t="inlineStr">
        <is>
          <t>Pupitre de l'Estrie</t>
        </is>
      </c>
      <c r="E16" s="46" t="inlineStr">
        <is>
          <t>I</t>
        </is>
      </c>
      <c r="F16" s="46" t="inlineStr">
        <is>
          <t>L'asclépiade à Dragons' Den le 17 sept!</t>
        </is>
      </c>
      <c r="G16" s="46" t="inlineStr">
        <is>
          <t>tvanouvelles.ca/nous-joindre</t>
        </is>
      </c>
      <c r="H16" s="46" t="inlineStr">
        <is>
          <t>2026-09-16 10:35</t>
        </is>
      </c>
      <c r="I16" s="46" t="n"/>
      <c r="J16"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la transformation de la fibre se faisait à Granby, rue Bernard. L'atelier appartenait au groupe Protec-Style, qui exploitait aussi l'usine de Saint-Tite, et les deux sont tombées [le 11 octobre 2017](https://www.lhebdodustmaurice.com/actualite/protec-style-en-faillite/) avec une dette de plus de 1,4 M$. L'Estrie compte encore des producteurs d'asclépiade, et on continue d'acheter de la fibre québécoise.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7" ht="200" customHeight="1" s="26">
      <c r="A17" s="46" t="inlineStr">
        <is>
          <t>nouvelles.cfer@tva.ca</t>
        </is>
      </c>
      <c r="B17" s="46" t="inlineStr">
        <is>
          <t>TVA Est-du-Québec</t>
        </is>
      </c>
      <c r="C17" s="46" t="inlineStr">
        <is>
          <t>TVA Est-du-Québec</t>
        </is>
      </c>
      <c r="D17" s="46" t="inlineStr">
        <is>
          <t>Pupitre de l'Est-du-Québec</t>
        </is>
      </c>
      <c r="E17" s="46" t="inlineStr">
        <is>
          <t>I</t>
        </is>
      </c>
      <c r="F17" s="46" t="inlineStr">
        <is>
          <t>L'asclépiade à Dragons' Den le 17 sept!</t>
        </is>
      </c>
      <c r="G17" s="46" t="inlineStr">
        <is>
          <t>tvanouvelles.ca/nous-joindre</t>
        </is>
      </c>
      <c r="H17" s="46" t="inlineStr">
        <is>
          <t>2026-09-16 10:35</t>
        </is>
      </c>
      <c r="I17" s="46" t="n"/>
      <c r="J17"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8" ht="200" customHeight="1" s="26">
      <c r="A18" s="46" t="inlineStr">
        <is>
          <t>quebec@quebecormedia.com</t>
        </is>
      </c>
      <c r="B18" s="46" t="inlineStr">
        <is>
          <t>Québecor Québec</t>
        </is>
      </c>
      <c r="C18" s="46" t="inlineStr">
        <is>
          <t>Québecor Québec</t>
        </is>
      </c>
      <c r="D18" s="46" t="inlineStr">
        <is>
          <t>Salle de nouvelles</t>
        </is>
      </c>
      <c r="E18" s="46" t="inlineStr">
        <is>
          <t>E</t>
        </is>
      </c>
      <c r="F18" s="46" t="inlineStr">
        <is>
          <t>L'asclépiade à Dragons' Den le 17 sept!</t>
        </is>
      </c>
      <c r="G18" s="46" t="inlineStr">
        <is>
          <t>tvanouvelles.ca/nous-joindre</t>
        </is>
      </c>
      <c r="H18" s="46" t="inlineStr">
        <is>
          <t>2026-09-16 10:36</t>
        </is>
      </c>
      <c r="I18" s="46" t="n"/>
      <c r="J18"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19" ht="200" customHeight="1" s="26">
      <c r="A19" s="46" t="inlineStr">
        <is>
          <t>montreal@quebecormedia.com</t>
        </is>
      </c>
      <c r="B19" s="46" t="inlineStr">
        <is>
          <t>Québecor Montréal</t>
        </is>
      </c>
      <c r="C19" s="46" t="inlineStr">
        <is>
          <t>Québecor Montréal</t>
        </is>
      </c>
      <c r="D19" s="46" t="inlineStr">
        <is>
          <t>Salle de nouvelles</t>
        </is>
      </c>
      <c r="E19" s="46" t="inlineStr">
        <is>
          <t>E</t>
        </is>
      </c>
      <c r="F19" s="46" t="inlineStr">
        <is>
          <t>L'asclépiade à Dragons' Den le 17 sept!</t>
        </is>
      </c>
      <c r="G19" s="46" t="inlineStr">
        <is>
          <t>tvanouvelles.ca/nous-joindre</t>
        </is>
      </c>
      <c r="H19" s="46" t="inlineStr">
        <is>
          <t>2026-09-16 10:36</t>
        </is>
      </c>
      <c r="I19" s="46" t="n"/>
      <c r="J19"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20" ht="200" customHeight="1" s="26">
      <c r="A20" s="46" t="inlineStr">
        <is>
          <t>sherbrooke@quebecormedia.com</t>
        </is>
      </c>
      <c r="B20" s="46" t="inlineStr">
        <is>
          <t>Québecor Sherbrooke</t>
        </is>
      </c>
      <c r="C20" s="46" t="inlineStr">
        <is>
          <t>Québecor Sherbrooke</t>
        </is>
      </c>
      <c r="D20" s="46" t="inlineStr">
        <is>
          <t>Salle de nouvelles</t>
        </is>
      </c>
      <c r="E20" s="46" t="inlineStr">
        <is>
          <t>E</t>
        </is>
      </c>
      <c r="F20" s="46" t="inlineStr">
        <is>
          <t>L'asclépiade à Dragons' Den le 17 sept!</t>
        </is>
      </c>
      <c r="G20" s="46" t="inlineStr">
        <is>
          <t>tvanouvelles.ca/nous-joindre</t>
        </is>
      </c>
      <c r="H20" s="46" t="inlineStr">
        <is>
          <t>2026-09-16 10:37</t>
        </is>
      </c>
      <c r="I20" s="46" t="n"/>
      <c r="J20"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21" ht="200" customHeight="1" s="26">
      <c r="A21" s="46" t="inlineStr">
        <is>
          <t>trois-rivieres@quebecormedia.com</t>
        </is>
      </c>
      <c r="B21" s="46" t="inlineStr">
        <is>
          <t>Québecor Trois-Rivières</t>
        </is>
      </c>
      <c r="C21" s="46" t="inlineStr">
        <is>
          <t>Québecor Trois-Rivières</t>
        </is>
      </c>
      <c r="D21" s="46" t="inlineStr">
        <is>
          <t>Salle de nouvelles</t>
        </is>
      </c>
      <c r="E21" s="46" t="inlineStr">
        <is>
          <t>E</t>
        </is>
      </c>
      <c r="F21" s="46" t="inlineStr">
        <is>
          <t>L'asclépiade à Dragons' Den le 17 sept!</t>
        </is>
      </c>
      <c r="G21" s="46" t="inlineStr">
        <is>
          <t>tvanouvelles.ca/nous-joindre</t>
        </is>
      </c>
      <c r="H21" s="46" t="inlineStr">
        <is>
          <t>2026-09-16 10:37</t>
        </is>
      </c>
      <c r="I21" s="46" t="n"/>
      <c r="J21"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row r="22" ht="200" customHeight="1" s="26">
      <c r="A22" s="46" t="inlineStr">
        <is>
          <t>estquebec@quebecormedia.com</t>
        </is>
      </c>
      <c r="B22" s="46" t="inlineStr">
        <is>
          <t>Québecor Est-du-Québec</t>
        </is>
      </c>
      <c r="C22" s="46" t="inlineStr">
        <is>
          <t>Québecor Est-du-Québec</t>
        </is>
      </c>
      <c r="D22" s="46" t="inlineStr">
        <is>
          <t>Salle de nouvelles</t>
        </is>
      </c>
      <c r="E22" s="46" t="inlineStr">
        <is>
          <t>E</t>
        </is>
      </c>
      <c r="F22" s="46" t="inlineStr">
        <is>
          <t>L'asclépiade à Dragons' Den le 17 sept!</t>
        </is>
      </c>
      <c r="G22" s="46" t="inlineStr">
        <is>
          <t>tvanouvelles.ca/nous-joindre</t>
        </is>
      </c>
      <c r="H22" s="46" t="inlineStr">
        <is>
          <t>2026-09-16 10:38</t>
        </is>
      </c>
      <c r="I22" s="46" t="n"/>
      <c r="J22" s="46" t="inlineStr">
        <is>
          <t>Bonjour,
Je m'appelle Gabriel Gouveia, fondateur de [Lasclay](https://lasclay.com). On isole des vêtements d'hiver avec une mauvaise herbe, l'asclépiade, qu'on cultive pour sauvegarder un pollinisateur emblématique et menacé : le papillon monarque.
Ses gousses sont remplies d'une soie creuse, très légère et naturellement hydrophobe. On la transforme en isolant à Québec, et on en fait des manteaux, des mitaines, des tuques et des sacs isothermes vendus au Canada et aux États-Unis.
L'asclépiade n'est pas une plante importée : c'est une [mauvaise herbe indigène](https://lasclay.com/pages/milkweed-asclepiade) qui pousse ici depuis toujours, et c'est pour ça que [le monarque en dépend](https://lasclay.com/pages/monarch-butterfly). Elle a aussi une histoire plus longue que la nôtre. On a écrit ce qu'on en a trouvé : [la soie d'Amérique en Nouvelle-France](https://lasclay.com/blogs/journal/soie-amerique-nouvelle-france), [les enfants qui la récoltaient pour les gilets de sauvetage de la Seconde Guerre mondiale](https://lasclay.com/blogs/journal/asclepiade-seconde-guerre-mondiale), et [l'histoire de l'industrie québécoise](https://lasclay.com/blogs/journal/histoire-industrie-asclepiade-quebec).
Je vous écris parce que c'est d'abord une histoire d'affaires : bâtir ses propres procédés faute de sous-traitant prêt à toucher à la fibre, puis changer de modèle manufacturier l'an dernier pour tenir, et se retrouver à pitcher à la télévision nationale. La vidéo sur le changement de modèle est ici : https://www.youtube.com/watch?v=GKyHh-Ok9JU
Ce jeudi 17 septembre, je présente Lasclay dans le premier épisode de la 21e saison de Dragons' Den, sur CBC et CBC Gem, à 20 h.
Aller présenter notre entreprise et sa mission à la télévision nationale est une opportunité qui arrive bien rarement. Je voulais vous en faire part et qui sait, peut-être vous inspirer un sujet. Je suis disponible pour une entrevue d'ici jeudi, ou le vendredi 18 au matin.
Si ça vous intéresse de couvrir (ou un.e collègue?), [notre média kit est ici](https://drive.google.com/drive/folders/1pyCUbfHYQhpXXl4FoCC2RCFXKRvGS5Zr), avec les images de notre passage à Dragons' Den et de l'entreprise.
J'espère vraiment un boom des ventes avec cette visibilité, ce qui, plus largement, sera extrêmement bénéfique pour les cultivateurs d'asclépiade du Québec chez qui on continue d'acheter, et pour les papillons monarques menacés qui continuent de se reproduire dans leurs plantations.
Au plaisir et n'hésitez pas à me contacter si vous avez des questions.
Chaleureusement,
__
Gabriel Gouveia
Co-fondateur
+1 (581) 982-5857
Lasclay.com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38" customWidth="1" style="26" min="1" max="1"/>
    <col width="30" customWidth="1" style="26" min="2" max="2"/>
    <col width="26" customWidth="1" style="26" min="3" max="3"/>
    <col width="7" customWidth="1" style="26" min="4" max="4"/>
    <col width="46" customWidth="1" style="26" min="5" max="5"/>
    <col width="60" customWidth="1" style="26" min="6" max="6"/>
    <col width="34" customWidth="1" style="26" min="7" max="7"/>
    <col width="12" customWidth="1" style="26" min="8" max="8"/>
    <col width="12" customWidth="1" style="26" min="9" max="9"/>
    <col width="100" customWidth="1" style="26" min="10" max="10"/>
  </cols>
  <sheetData>
    <row r="1">
      <c r="A1" s="57" t="inlineStr">
        <is>
          <t>Courriel</t>
        </is>
      </c>
      <c r="B1" s="57" t="inlineStr">
        <is>
          <t>Média</t>
        </is>
      </c>
      <c r="C1" s="57" t="inlineStr">
        <is>
          <t>Rôle</t>
        </is>
      </c>
      <c r="D1" s="57" t="inlineStr">
        <is>
          <t>Angle</t>
        </is>
      </c>
      <c r="E1" s="57" t="inlineStr">
        <is>
          <t>Objet</t>
        </is>
      </c>
      <c r="F1" s="57" t="inlineStr">
        <is>
          <t>Pourquoi eux</t>
        </is>
      </c>
      <c r="G1" s="57" t="inlineStr">
        <is>
          <t>Source de l'adresse</t>
        </is>
      </c>
      <c r="H1" s="57" t="inlineStr">
        <is>
          <t>Envoyé le</t>
        </is>
      </c>
      <c r="I1" s="57" t="inlineStr">
        <is>
          <t>Réponse</t>
        </is>
      </c>
      <c r="J1" s="57" t="inlineStr">
        <is>
          <t>Brouillon</t>
        </is>
      </c>
    </row>
    <row r="2" ht="200" customHeight="1" s="26">
      <c r="A2" s="46" t="inlineStr">
        <is>
          <t>newsroom@thecanadianpress.com</t>
        </is>
      </c>
      <c r="B2" s="46" t="inlineStr">
        <is>
          <t>The Canadian Press</t>
        </is>
      </c>
      <c r="C2" s="46" t="inlineStr">
        <is>
          <t>Fil de presse national</t>
        </is>
      </c>
      <c r="D2" s="46" t="inlineStr">
        <is>
          <t>H</t>
        </is>
      </c>
      <c r="E2" s="46" t="inlineStr">
        <is>
          <t>Quebec milkweed on Dragons' Den, this Thursday</t>
        </is>
      </c>
      <c r="F2" s="46" t="inlineStr">
        <is>
          <t>I'm writing to the wire first because if this is worth two paragraphs, it's worth them in every paper in the country: a Quebec company insulating winter coats with the only plant monarch caterpillars can eat is going on national television Thursday.</t>
        </is>
      </c>
      <c r="G2" s="46" t="inlineStr">
        <is>
          <t>thecanadianpress.com/contact</t>
        </is>
      </c>
      <c r="H2" s="46" t="inlineStr">
        <is>
          <t>2026-09-16 10:48</t>
        </is>
      </c>
      <c r="I2" s="46" t="n"/>
      <c r="J2"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I'm writing to the wire first because if this is worth two paragraphs, it's worth them in every paper in the country: a Quebec company insulating winter coats with the only plant monarch caterpillars can eat is going on national television Thursday.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3" ht="200" customHeight="1" s="26">
      <c r="A3" s="46" t="inlineStr">
        <is>
          <t>bnnassignmentdesk@bellmedia.ca</t>
        </is>
      </c>
      <c r="B3" s="46" t="inlineStr">
        <is>
          <t>BNN Bloomberg</t>
        </is>
      </c>
      <c r="C3" s="46" t="inlineStr">
        <is>
          <t>Pupitre des affectations</t>
        </is>
      </c>
      <c r="D3" s="46" t="inlineStr">
        <is>
          <t>H</t>
        </is>
      </c>
      <c r="E3" s="46" t="inlineStr">
        <is>
          <t>Quebec milkweed on Dragons' Den, this Thursday</t>
        </is>
      </c>
      <c r="F3" s="46" t="inlineStr">
        <is>
          <t>The business story: we built our own processing because no subcontractor would touch the fibre, changed our manufacturing model last year to survive, and are now pitching on national television.</t>
        </is>
      </c>
      <c r="G3" s="46" t="inlineStr">
        <is>
          <t>bnnbloomberg.ca/contact-us</t>
        </is>
      </c>
      <c r="H3" s="46" t="inlineStr">
        <is>
          <t>2026-09-16 10:49</t>
        </is>
      </c>
      <c r="I3" s="46" t="n"/>
      <c r="J3"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The business story: we built our own processing because no subcontractor would touch the fibre, changed our manufacturing model last year to survive, and are now pitching on national television.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4" ht="200" customHeight="1" s="26">
      <c r="A4" s="46" t="inlineStr">
        <is>
          <t>ROB@globeandmail.com</t>
        </is>
      </c>
      <c r="B4" s="46" t="inlineStr">
        <is>
          <t>The Globe and Mail</t>
        </is>
      </c>
      <c r="C4" s="46" t="inlineStr">
        <is>
          <t>Report on Business</t>
        </is>
      </c>
      <c r="D4" s="46" t="inlineStr">
        <is>
          <t>H</t>
        </is>
      </c>
      <c r="E4" s="46" t="inlineStr">
        <is>
          <t>Quebec milkweed on Dragons' Den, this Thursday</t>
        </is>
      </c>
      <c r="F4" s="46" t="inlineStr">
        <is>
          <t>A Quebec company built its own processing because no subcontractor would touch the fibre, changed its manufacturing model last year to survive, and is now pitching on national television. Whatever happens in the episode, the fibre and the farms behind it are real.</t>
        </is>
      </c>
      <c r="G4" s="46" t="inlineStr">
        <is>
          <t>theglobeandmail.com/about/contact</t>
        </is>
      </c>
      <c r="H4" s="46" t="inlineStr">
        <is>
          <t>2026-09-16 10:49</t>
        </is>
      </c>
      <c r="I4" s="46" t="n"/>
      <c r="J4"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Quebec company built its own processing because no subcontractor would touch the fibre, changed its manufacturing model last year to survive, and is now pitching on national television. Whatever happens in the episode, the fibre and the farms behind it are real.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5" ht="200" customHeight="1" s="26">
      <c r="A5" s="46" t="inlineStr">
        <is>
          <t>globalnational@globalnews.ca</t>
        </is>
      </c>
      <c r="B5" s="46" t="inlineStr">
        <is>
          <t>Global National</t>
        </is>
      </c>
      <c r="C5" s="46" t="inlineStr">
        <is>
          <t>Pupitre national</t>
        </is>
      </c>
      <c r="D5" s="46" t="inlineStr">
        <is>
          <t>H</t>
        </is>
      </c>
      <c r="E5" s="46" t="inlineStr">
        <is>
          <t>Quebec milkweed on Dragons' Den, this Thursday</t>
        </is>
      </c>
      <c r="F5" s="46" t="inlineStr">
        <is>
          <t>A Canadian company goes on Dragons' Den this Thursday with a winter coat insulated by a weed most farmers spray, and that same weed is the only thing monarch caterpillars eat.</t>
        </is>
      </c>
      <c r="G5" s="46" t="inlineStr">
        <is>
          <t>globalnews.ca/pages/contact-us</t>
        </is>
      </c>
      <c r="H5" s="46" t="inlineStr">
        <is>
          <t>2026-09-16 10:50</t>
        </is>
      </c>
      <c r="I5" s="46" t="n"/>
      <c r="J5"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eat.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6" ht="200" customHeight="1" s="26">
      <c r="A6" s="46" t="inlineStr">
        <is>
          <t>newstips@globalnews.ca</t>
        </is>
      </c>
      <c r="B6" s="46" t="inlineStr">
        <is>
          <t>Global News</t>
        </is>
      </c>
      <c r="C6" s="46" t="inlineStr">
        <is>
          <t>Ligne de nouvelles</t>
        </is>
      </c>
      <c r="D6" s="46" t="inlineStr">
        <is>
          <t>H</t>
        </is>
      </c>
      <c r="E6" s="46" t="inlineStr">
        <is>
          <t>Quebec milkweed on Dragons' Den, this Thursday</t>
        </is>
      </c>
      <c r="F6" s="46" t="inlineStr">
        <is>
          <t>A Canadian company goes on Dragons' Den this Thursday with a winter coat insulated by a weed most farmers spray, and that same weed is the only thing monarch caterpillars eat.</t>
        </is>
      </c>
      <c r="G6" s="46" t="inlineStr">
        <is>
          <t>globalnews.ca/pages/contact-us</t>
        </is>
      </c>
      <c r="H6" s="46" t="inlineStr">
        <is>
          <t>2026-09-16 10:50</t>
        </is>
      </c>
      <c r="I6" s="46" t="n"/>
      <c r="J6"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eat.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7" ht="200" customHeight="1" s="26">
      <c r="A7" s="46" t="inlineStr">
        <is>
          <t>montreal@globalnews.ca</t>
        </is>
      </c>
      <c r="B7" s="46" t="inlineStr">
        <is>
          <t>Global Montreal</t>
        </is>
      </c>
      <c r="C7" s="46" t="inlineStr">
        <is>
          <t>Pupitre de Montréal</t>
        </is>
      </c>
      <c r="D7" s="46" t="inlineStr">
        <is>
          <t>H</t>
        </is>
      </c>
      <c r="E7" s="46" t="inlineStr">
        <is>
          <t>Quebec milkweed on Dragons' Den, this Thursday</t>
        </is>
      </c>
      <c r="F7" s="46" t="inlineStr">
        <is>
          <t>We're a Quebec City company, the milkweed is grown by Quebec farmers, and the insulation is made here, Thursday's national broadcast is a local story first.</t>
        </is>
      </c>
      <c r="G7" s="46" t="inlineStr">
        <is>
          <t>globalnews.ca/pages/contact-us</t>
        </is>
      </c>
      <c r="H7" s="46" t="inlineStr">
        <is>
          <t>2026-09-16 10:51</t>
        </is>
      </c>
      <c r="I7" s="46" t="n"/>
      <c r="J7"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We're a Quebec City company, the milkweed is grown by Quebec farmers, and the insulation is made here, Thursday's national broadcast is a local story first.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8" ht="200" customHeight="1" s="26">
      <c r="A8" s="46" t="inlineStr">
        <is>
          <t>insider@retail-insider.com</t>
        </is>
      </c>
      <c r="B8" s="46" t="inlineStr">
        <is>
          <t>Retail Insider</t>
        </is>
      </c>
      <c r="C8" s="46" t="inlineStr">
        <is>
          <t>Rédaction</t>
        </is>
      </c>
      <c r="D8" s="46" t="inlineStr">
        <is>
          <t>H</t>
        </is>
      </c>
      <c r="E8" s="46" t="inlineStr">
        <is>
          <t>Quebec milkweed on Dragons' Den, this Thursday</t>
        </is>
      </c>
      <c r="F8" s="46" t="inlineStr">
        <is>
          <t>We're a Canadian direct-to-consumer brand about to get national television exposure, with a supply chain that starts in Quebec fields. The coat on the shelf begins as a pod in a row of weeds somebody decided not to spray.</t>
        </is>
      </c>
      <c r="G8" s="46" t="inlineStr">
        <is>
          <t>retail-insider.com/contact-us</t>
        </is>
      </c>
      <c r="H8" s="46" t="inlineStr">
        <is>
          <t>2026-09-16 10:51</t>
        </is>
      </c>
      <c r="I8" s="46" t="n"/>
      <c r="J8"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We're a Canadian direct-to-consumer brand about to get national television exposure, with a supply chain that starts in Quebec fields. The coat on the shelf begins as a pod in a row of weeds somebody decided not to spray.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9" ht="200" customHeight="1" s="26">
      <c r="A9" s="46" t="inlineStr">
        <is>
          <t>editor@innovationintextiles.com</t>
        </is>
      </c>
      <c r="B9" s="46" t="inlineStr">
        <is>
          <t>Innovation in Textiles</t>
        </is>
      </c>
      <c r="C9" s="46" t="inlineStr">
        <is>
          <t>Rédaction</t>
        </is>
      </c>
      <c r="D9" s="46" t="inlineStr">
        <is>
          <t>H</t>
        </is>
      </c>
      <c r="E9" s="46" t="inlineStr">
        <is>
          <t>Quebec milkweed on Dragons' Den, this Thursday</t>
        </is>
      </c>
      <c r="F9" s="46" t="inlineStr">
        <is>
          <t>You covered Vegeto's milkweed insulation last February. We're the other end of that same Quebec filière: we buy the harvest, process the floss into insulation ourselves, and sell finished garments. As far as we know, nobody else holds the whole chain. The Quebec filière collapsed [on October 11, 2017](https://ici.radio-canada.ca/nouvelle/1061543/asclepiade-soyer-producteurs-industries-encore3-faillite-monark) when the group that had reserved 90 per cent of the crop went bankrupt, which is the context for anything written about milkweed insulation today.</t>
        </is>
      </c>
      <c r="G9" s="46" t="inlineStr">
        <is>
          <t>innovationintextiles.com/contact</t>
        </is>
      </c>
      <c r="H9" s="46" t="inlineStr">
        <is>
          <t>2026-09-16 10:52</t>
        </is>
      </c>
      <c r="I9" s="46" t="n"/>
      <c r="J9"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 covered Vegeto's milkweed insulation last February. We're the other end of that same Quebec filière: we buy the harvest, process the floss into insulation ourselves, and sell finished garments. As far as we know, nobody else holds the whole chain. The Quebec filière collapsed [on October 11, 2017](https://ici.radio-canada.ca/nouvelle/1061543/asclepiade-soyer-producteurs-industries-encore3-faillite-monark) when the group that had reserved 90 per cent of the crop went bankrupt, which is the context for anything written about milkweed insulation today.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0" ht="200" customHeight="1" s="26">
      <c r="A10" s="46" t="inlineStr">
        <is>
          <t>editor@knittingindustry.com</t>
        </is>
      </c>
      <c r="B10" s="46" t="inlineStr">
        <is>
          <t>Knitting Industry</t>
        </is>
      </c>
      <c r="C10" s="46" t="inlineStr">
        <is>
          <t>Rédaction</t>
        </is>
      </c>
      <c r="D10" s="46" t="inlineStr">
        <is>
          <t>H</t>
        </is>
      </c>
      <c r="E10" s="46" t="inlineStr">
        <is>
          <t>Quebec milkweed on Dragons' Den, this Thursday</t>
        </is>
      </c>
      <c r="F10" s="46" t="inlineStr">
        <is>
          <t>Milkweed floss is a hollow, naturally water-repellent fibre that behaves like down without an animal. A Quebec filière has been trying to industrialise it since 2013; we process it ourselves and sell finished garments.</t>
        </is>
      </c>
      <c r="G10" s="46" t="inlineStr">
        <is>
          <t>knittingindustry.com/contact</t>
        </is>
      </c>
      <c r="H10" s="46" t="inlineStr">
        <is>
          <t>2026-09-16 10:53</t>
        </is>
      </c>
      <c r="I10" s="46" t="n"/>
      <c r="J10"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Milkweed floss is a hollow, naturally water-repellent fibre that behaves like down without an animal. A Quebec filière has been trying to industrialise it since 2013; we process it ourselves and sell finished garments.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1" ht="200" customHeight="1" s="26">
      <c r="A11" s="46" t="inlineStr">
        <is>
          <t>jborneman@textileworld.com</t>
        </is>
      </c>
      <c r="B11" s="46" t="inlineStr">
        <is>
          <t>Textile World</t>
        </is>
      </c>
      <c r="C11" s="46" t="inlineStr">
        <is>
          <t>Rédaction technique</t>
        </is>
      </c>
      <c r="D11" s="46" t="inlineStr">
        <is>
          <t>H</t>
        </is>
      </c>
      <c r="E11" s="46" t="inlineStr">
        <is>
          <t>Quebec milkweed on Dragons' Den, this Thursday</t>
        </is>
      </c>
      <c r="F11" s="46" t="inlineStr">
        <is>
          <t>Milkweed floss is a hollow, naturally water-repellent fibre that behaves like down without an animal, and a Quebec filière has been trying to industrialise it since 2013. We process it ourselves and sell finished garments. That last step is where the earlier attempts stopped.</t>
        </is>
      </c>
      <c r="G11" s="46" t="inlineStr">
        <is>
          <t>textileworld.com/contact</t>
        </is>
      </c>
      <c r="H11" s="46" t="inlineStr">
        <is>
          <t>2026-09-16 10:53</t>
        </is>
      </c>
      <c r="I11" s="46" t="n"/>
      <c r="J11"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Milkweed floss is a hollow, naturally water-repellent fibre that behaves like down without an animal, and a Quebec filière has been trying to industrialise it since 2013. We process it ourselves and sell finished garments. That last step is where the earlier attempts stopped.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2" ht="200" customHeight="1" s="26">
      <c r="A12" s="46" t="inlineStr">
        <is>
          <t>news@fashionunited.com</t>
        </is>
      </c>
      <c r="B12" s="46" t="inlineStr">
        <is>
          <t>FashionUnited Canada</t>
        </is>
      </c>
      <c r="C12" s="46" t="inlineStr">
        <is>
          <t>Rédaction</t>
        </is>
      </c>
      <c r="D12" s="46" t="inlineStr">
        <is>
          <t>H</t>
        </is>
      </c>
      <c r="E12" s="46" t="inlineStr">
        <is>
          <t>Quebec milkweed on Dragons' Den, this Thursday</t>
        </is>
      </c>
      <c r="F12" s="46" t="inlineStr">
        <is>
          <t>Plant-based insulation is one of the few places where outerwear can actually leave animal and petroleum fibres behind, and milkweed is the rare one that also feeds a threatened pollinator.</t>
        </is>
      </c>
      <c r="G12" s="46" t="inlineStr">
        <is>
          <t>fashionunited.ca/contact</t>
        </is>
      </c>
      <c r="H12" s="46" t="inlineStr">
        <is>
          <t>2026-09-16 10:54</t>
        </is>
      </c>
      <c r="I12" s="46" t="n"/>
      <c r="J12"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Plant-based insulation is one of the few places where outerwear can actually leave animal and petroleum fibres behind, and milkweed is the rare one that also feeds a threatened pollinator.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3" ht="200" customHeight="1" s="26">
      <c r="A13" s="46" t="inlineStr">
        <is>
          <t>viewercontacttoronto@globalnews.ca</t>
        </is>
      </c>
      <c r="B13" s="46" t="inlineStr">
        <is>
          <t>Global Toronto</t>
        </is>
      </c>
      <c r="C13" s="46" t="inlineStr">
        <is>
          <t>Pupitre de Toronto</t>
        </is>
      </c>
      <c r="D13" s="46" t="inlineStr">
        <is>
          <t>H</t>
        </is>
      </c>
      <c r="E13" s="46" t="inlineStr">
        <is>
          <t>Quebec milkweed on Dragons' Den, this Thursday</t>
        </is>
      </c>
      <c r="F13"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13" s="46" t="inlineStr">
        <is>
          <t>globalnews.ca/pages/contact-us</t>
        </is>
      </c>
      <c r="H13" s="46" t="inlineStr">
        <is>
          <t>2026-09-16 10:54</t>
        </is>
      </c>
      <c r="I13" s="46" t="n"/>
      <c r="J13"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4" ht="200" customHeight="1" s="26">
      <c r="A14" s="46" t="inlineStr">
        <is>
          <t>calgary@globalnews.ca</t>
        </is>
      </c>
      <c r="B14" s="46" t="inlineStr">
        <is>
          <t>Global Calgary</t>
        </is>
      </c>
      <c r="C14" s="46" t="inlineStr">
        <is>
          <t>Pupitre de Calgary</t>
        </is>
      </c>
      <c r="D14" s="46" t="inlineStr">
        <is>
          <t>H</t>
        </is>
      </c>
      <c r="E14" s="46" t="inlineStr">
        <is>
          <t>Quebec milkweed on Dragons' Den, this Thursday</t>
        </is>
      </c>
      <c r="F14"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14" s="46" t="inlineStr">
        <is>
          <t>globalnews.ca/pages/contact-us</t>
        </is>
      </c>
      <c r="H14" s="46" t="inlineStr">
        <is>
          <t>2026-09-16 10:55</t>
        </is>
      </c>
      <c r="I14" s="46" t="n"/>
      <c r="J14"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5" ht="200" customHeight="1" s="26">
      <c r="A15" s="46" t="inlineStr">
        <is>
          <t>edmonton@globalnews.ca</t>
        </is>
      </c>
      <c r="B15" s="46" t="inlineStr">
        <is>
          <t>Global Edmonton</t>
        </is>
      </c>
      <c r="C15" s="46" t="inlineStr">
        <is>
          <t>Pupitre d'Edmonton</t>
        </is>
      </c>
      <c r="D15" s="46" t="inlineStr">
        <is>
          <t>H</t>
        </is>
      </c>
      <c r="E15" s="46" t="inlineStr">
        <is>
          <t>Quebec milkweed on Dragons' Den, this Thursday</t>
        </is>
      </c>
      <c r="F15"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15" s="46" t="inlineStr">
        <is>
          <t>globalnews.ca/pages/contact-us</t>
        </is>
      </c>
      <c r="H15" s="46" t="inlineStr">
        <is>
          <t>2026-09-16 10:55</t>
        </is>
      </c>
      <c r="I15" s="46" t="n"/>
      <c r="J15"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6" ht="200" customHeight="1" s="26">
      <c r="A16" s="46" t="inlineStr">
        <is>
          <t>winnipeg@globalnews.ca</t>
        </is>
      </c>
      <c r="B16" s="46" t="inlineStr">
        <is>
          <t>Global Winnipeg</t>
        </is>
      </c>
      <c r="C16" s="46" t="inlineStr">
        <is>
          <t>Pupitre de Winnipeg</t>
        </is>
      </c>
      <c r="D16" s="46" t="inlineStr">
        <is>
          <t>H</t>
        </is>
      </c>
      <c r="E16" s="46" t="inlineStr">
        <is>
          <t>Quebec milkweed on Dragons' Den, this Thursday</t>
        </is>
      </c>
      <c r="F16"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16" s="46" t="inlineStr">
        <is>
          <t>globalnews.ca/pages/contact-us</t>
        </is>
      </c>
      <c r="H16" s="46" t="inlineStr">
        <is>
          <t>2026-09-16 10:56</t>
        </is>
      </c>
      <c r="I16" s="46" t="n"/>
      <c r="J16"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7" ht="200" customHeight="1" s="26">
      <c r="A17" s="46" t="inlineStr">
        <is>
          <t>halifax@globalnews.ca</t>
        </is>
      </c>
      <c r="B17" s="46" t="inlineStr">
        <is>
          <t>Global Halifax</t>
        </is>
      </c>
      <c r="C17" s="46" t="inlineStr">
        <is>
          <t>Pupitre d'Halifax</t>
        </is>
      </c>
      <c r="D17" s="46" t="inlineStr">
        <is>
          <t>H</t>
        </is>
      </c>
      <c r="E17" s="46" t="inlineStr">
        <is>
          <t>Quebec milkweed on Dragons' Den, this Thursday</t>
        </is>
      </c>
      <c r="F17"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17" s="46" t="inlineStr">
        <is>
          <t>globalnews.ca/pages/contact-us</t>
        </is>
      </c>
      <c r="H17" s="46" t="inlineStr">
        <is>
          <t>2026-09-16 10:56</t>
        </is>
      </c>
      <c r="I17" s="46" t="n"/>
      <c r="J17"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8" ht="200" customHeight="1" s="26">
      <c r="A18" s="46" t="inlineStr">
        <is>
          <t>regina@globalnews.ca</t>
        </is>
      </c>
      <c r="B18" s="46" t="inlineStr">
        <is>
          <t>Global Regina</t>
        </is>
      </c>
      <c r="C18" s="46" t="inlineStr">
        <is>
          <t>Pupitre de Regina</t>
        </is>
      </c>
      <c r="D18" s="46" t="inlineStr">
        <is>
          <t>H</t>
        </is>
      </c>
      <c r="E18" s="46" t="inlineStr">
        <is>
          <t>Quebec milkweed on Dragons' Den, this Thursday</t>
        </is>
      </c>
      <c r="F18"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18" s="46" t="inlineStr">
        <is>
          <t>globalnews.ca/pages/contact-us</t>
        </is>
      </c>
      <c r="H18" s="46" t="inlineStr">
        <is>
          <t>2026-09-16 10:57</t>
        </is>
      </c>
      <c r="I18" s="46" t="n"/>
      <c r="J18"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19" ht="200" customHeight="1" s="26">
      <c r="A19" s="46" t="inlineStr">
        <is>
          <t>saskatoon@globalnews.ca</t>
        </is>
      </c>
      <c r="B19" s="46" t="inlineStr">
        <is>
          <t>Global Saskatoon</t>
        </is>
      </c>
      <c r="C19" s="46" t="inlineStr">
        <is>
          <t>Pupitre de Saskatoon</t>
        </is>
      </c>
      <c r="D19" s="46" t="inlineStr">
        <is>
          <t>H</t>
        </is>
      </c>
      <c r="E19" s="46" t="inlineStr">
        <is>
          <t>Quebec milkweed on Dragons' Den, this Thursday</t>
        </is>
      </c>
      <c r="F19"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19" s="46" t="inlineStr">
        <is>
          <t>globalnews.ca/pages/contact-us</t>
        </is>
      </c>
      <c r="H19" s="46" t="inlineStr">
        <is>
          <t>2026-09-16 10:57</t>
        </is>
      </c>
      <c r="I19" s="46" t="n"/>
      <c r="J19"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0" ht="200" customHeight="1" s="26">
      <c r="A20" s="46" t="inlineStr">
        <is>
          <t>okanagan@globalnews.ca</t>
        </is>
      </c>
      <c r="B20" s="46" t="inlineStr">
        <is>
          <t>Global Okanagan</t>
        </is>
      </c>
      <c r="C20" s="46" t="inlineStr">
        <is>
          <t>Pupitre de l'Okanagan</t>
        </is>
      </c>
      <c r="D20" s="46" t="inlineStr">
        <is>
          <t>H</t>
        </is>
      </c>
      <c r="E20" s="46" t="inlineStr">
        <is>
          <t>Quebec milkweed on Dragons' Den, this Thursday</t>
        </is>
      </c>
      <c r="F20" s="46" t="inlineStr">
        <is>
          <t>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t>
        </is>
      </c>
      <c r="G20" s="46" t="inlineStr">
        <is>
          <t>globalnews.ca/pages/contact-us</t>
        </is>
      </c>
      <c r="H20" s="46" t="inlineStr">
        <is>
          <t>2026-09-16 10:58</t>
        </is>
      </c>
      <c r="I20" s="46" t="n"/>
      <c r="J20"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Canadian company goes on Dragons' Den this Thursday with a winter coat insulated by a weed most farmers spray, and that same weed is the only thing monarch caterpillars can eat. We grow it, we process the floss into insulation ourselves in Quebec City, and we sell the finished garments across the country.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1" ht="200" customHeight="1" s="26">
      <c r="A21" s="46" t="inlineStr">
        <is>
          <t>consumermatters@globalnews.ca</t>
        </is>
      </c>
      <c r="B21" s="46" t="inlineStr">
        <is>
          <t>Global, Consumer Matters</t>
        </is>
      </c>
      <c r="C21" s="46" t="inlineStr">
        <is>
          <t>Chronique consommation</t>
        </is>
      </c>
      <c r="D21" s="46" t="inlineStr">
        <is>
          <t>H</t>
        </is>
      </c>
      <c r="E21" s="46" t="inlineStr">
        <is>
          <t>Quebec milkweed on Dragons' Den, this Thursday</t>
        </is>
      </c>
      <c r="F21" s="46" t="inlineStr">
        <is>
          <t>A $300 winter coat insulated with a farm weed instead of down or polyester. The consumer question is whether it actually keeps you warm, and that is a fair thing to test on air.</t>
        </is>
      </c>
      <c r="G21" s="46" t="inlineStr">
        <is>
          <t>globalnews.ca/pages/contact-us</t>
        </is>
      </c>
      <c r="H21" s="46" t="inlineStr">
        <is>
          <t>2026-09-16 10:58</t>
        </is>
      </c>
      <c r="I21" s="46" t="n"/>
      <c r="J21"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A $300 winter coat insulated with a farm weed instead of down or polyester. The consumer question is whether it actually keeps you warm, and that is a fair thing to test on air.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2" ht="200" customHeight="1" s="26">
      <c r="A22" s="46" t="inlineStr">
        <is>
          <t>vancouver@dailyhive.com</t>
        </is>
      </c>
      <c r="B22" s="46" t="inlineStr">
        <is>
          <t>Daily Hive Vancouver</t>
        </is>
      </c>
      <c r="C22" s="46" t="inlineStr">
        <is>
          <t>Pupitre de Vancouver</t>
        </is>
      </c>
      <c r="D22" s="46" t="inlineStr">
        <is>
          <t>H</t>
        </is>
      </c>
      <c r="E22" s="46" t="inlineStr">
        <is>
          <t>Quebec milkweed on Dragons' Den, this Thursday</t>
        </is>
      </c>
      <c r="F22" s="46"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G22" s="46" t="inlineStr">
        <is>
          <t>dailyhive.com/page/contact</t>
        </is>
      </c>
      <c r="H22" s="46" t="inlineStr">
        <is>
          <t>2026-09-16 10:59</t>
        </is>
      </c>
      <c r="I22" s="46" t="n"/>
      <c r="J22"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3" ht="200" customHeight="1" s="26">
      <c r="A23" s="46" t="inlineStr">
        <is>
          <t>toronto@dailyhive.com</t>
        </is>
      </c>
      <c r="B23" s="46" t="inlineStr">
        <is>
          <t>Daily Hive Toronto</t>
        </is>
      </c>
      <c r="C23" s="46" t="inlineStr">
        <is>
          <t>Pupitre de Toronto</t>
        </is>
      </c>
      <c r="D23" s="46" t="inlineStr">
        <is>
          <t>H</t>
        </is>
      </c>
      <c r="E23" s="46" t="inlineStr">
        <is>
          <t>Quebec milkweed on Dragons' Den, this Thursday</t>
        </is>
      </c>
      <c r="F23" s="46"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G23" s="46" t="inlineStr">
        <is>
          <t>dailyhive.com/page/contact</t>
        </is>
      </c>
      <c r="H23" s="46" t="inlineStr">
        <is>
          <t>2026-09-16 10:59</t>
        </is>
      </c>
      <c r="I23" s="46" t="n"/>
      <c r="J23"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4" ht="200" customHeight="1" s="26">
      <c r="A24" s="46" t="inlineStr">
        <is>
          <t>calgary@dailyhive.com</t>
        </is>
      </c>
      <c r="B24" s="46" t="inlineStr">
        <is>
          <t>Daily Hive Calgary</t>
        </is>
      </c>
      <c r="C24" s="46" t="inlineStr">
        <is>
          <t>Pupitre de Calgary</t>
        </is>
      </c>
      <c r="D24" s="46" t="inlineStr">
        <is>
          <t>H</t>
        </is>
      </c>
      <c r="E24" s="46" t="inlineStr">
        <is>
          <t>Quebec milkweed on Dragons' Den, this Thursday</t>
        </is>
      </c>
      <c r="F24" s="46"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G24" s="46" t="inlineStr">
        <is>
          <t>dailyhive.com/page/contact</t>
        </is>
      </c>
      <c r="H24" s="46" t="inlineStr">
        <is>
          <t>2026-09-16 11:00</t>
        </is>
      </c>
      <c r="I24" s="46" t="n"/>
      <c r="J24"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5" ht="200" customHeight="1" s="26">
      <c r="A25" s="46" t="inlineStr">
        <is>
          <t>edmonton@dailyhive.com</t>
        </is>
      </c>
      <c r="B25" s="46" t="inlineStr">
        <is>
          <t>Daily Hive Edmonton</t>
        </is>
      </c>
      <c r="C25" s="46" t="inlineStr">
        <is>
          <t>Pupitre d'Edmonton</t>
        </is>
      </c>
      <c r="D25" s="46" t="inlineStr">
        <is>
          <t>H</t>
        </is>
      </c>
      <c r="E25" s="46" t="inlineStr">
        <is>
          <t>Quebec milkweed on Dragons' Den, this Thursday</t>
        </is>
      </c>
      <c r="F25" s="46"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G25" s="46" t="inlineStr">
        <is>
          <t>dailyhive.com/page/contact</t>
        </is>
      </c>
      <c r="H25" s="46" t="inlineStr">
        <is>
          <t>2026-09-16 11:00</t>
        </is>
      </c>
      <c r="I25" s="46" t="n"/>
      <c r="J25"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6" ht="200" customHeight="1" s="26">
      <c r="A26" s="46" t="inlineStr">
        <is>
          <t>info@taproot.ca</t>
        </is>
      </c>
      <c r="B26" s="46" t="inlineStr">
        <is>
          <t>Taproot Edmonton</t>
        </is>
      </c>
      <c r="C26" s="46" t="inlineStr">
        <is>
          <t>Rédaction</t>
        </is>
      </c>
      <c r="D26" s="46" t="inlineStr">
        <is>
          <t>H</t>
        </is>
      </c>
      <c r="E26" s="46" t="inlineStr">
        <is>
          <t>Quebec milkweed on Dragons' Den, this Thursday</t>
        </is>
      </c>
      <c r="F26" s="46" t="inlineStr">
        <is>
          <t>Your readers can watch it Thursday night. The milkweed is grown by Quebec farmers and the floss is processed into insulation in Quebec City. Final assembly of the garments happens offshore, which is what put the coat near $300 instead of the $1,000 the earlier attempts asked.</t>
        </is>
      </c>
      <c r="G26" s="46" t="inlineStr">
        <is>
          <t>taproot.ca/contact</t>
        </is>
      </c>
      <c r="H26" s="46" t="inlineStr">
        <is>
          <t>2026-09-16 11:01</t>
        </is>
      </c>
      <c r="I26" s="46" t="n"/>
      <c r="J26"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can watch it Thursday night. The milkweed is grown by Quebec farmers and the floss is processed into insulation in Quebec City. Final assembly of the garments happens offshore, which is what put the coat near $300 instead of the $1,000 the earlier attempts asked.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7" ht="200" customHeight="1" s="26">
      <c r="A27" s="46" t="inlineStr">
        <is>
          <t>jdavis@textileworld.com</t>
        </is>
      </c>
      <c r="B27" s="46" t="inlineStr">
        <is>
          <t>Textile World</t>
        </is>
      </c>
      <c r="C27" s="46" t="inlineStr">
        <is>
          <t>Rédaction</t>
        </is>
      </c>
      <c r="D27" s="46" t="inlineStr">
        <is>
          <t>H</t>
        </is>
      </c>
      <c r="E27" s="46" t="inlineStr">
        <is>
          <t>Quebec milkweed on Dragons' Den, this Thursday</t>
        </is>
      </c>
      <c r="F27" s="46" t="inlineStr">
        <is>
          <t>Milkweed floss is a hollow, naturally water-repellent fibre that behaves like down without an animal. A Quebec filière has been trying to industrialise it since 2013; we process it ourselves and sell finished garments, which is the part nobody had managed to hold.</t>
        </is>
      </c>
      <c r="G27" s="46" t="inlineStr">
        <is>
          <t>textileworld.com/contact</t>
        </is>
      </c>
      <c r="H27" s="46" t="inlineStr">
        <is>
          <t>2026-09-16 11:01</t>
        </is>
      </c>
      <c r="I27" s="46" t="n"/>
      <c r="J27"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Milkweed floss is a hollow, naturally water-repellent fibre that behaves like down without an animal. A Quebec filière has been trying to industrialise it since 2013; we process it ourselves and sell finished garments, which is the part nobody had managed to hold.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8" ht="200" customHeight="1" s="26">
      <c r="A28" s="46" t="inlineStr">
        <is>
          <t>news@huddle.today</t>
        </is>
      </c>
      <c r="B28" s="46" t="inlineStr">
        <is>
          <t>Huddle</t>
        </is>
      </c>
      <c r="C28" s="46" t="inlineStr">
        <is>
          <t>Nouvelles d'affaires du Nouveau-Brunswick</t>
        </is>
      </c>
      <c r="D28" s="46" t="inlineStr">
        <is>
          <t>H</t>
        </is>
      </c>
      <c r="E28" s="46" t="inlineStr">
        <is>
          <t>Quebec milkweed on Dragons' Den, this Thursday</t>
        </is>
      </c>
      <c r="F28" s="46" t="inlineStr">
        <is>
          <t>The business angle from the Atlantic side: we built our own processing because no subcontractor would touch the fibre, and we are about to pitch it on national television. Atlantic Canada has the same problem we had, a raw material with no processing chain.</t>
        </is>
      </c>
      <c r="G28" s="46" t="inlineStr">
        <is>
          <t>huddle.today/contact</t>
        </is>
      </c>
      <c r="H28" s="46" t="inlineStr">
        <is>
          <t>2026-09-16 11:02</t>
        </is>
      </c>
      <c r="I28" s="46" t="n"/>
      <c r="J28"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The business angle from the Atlantic side: we built our own processing because no subcontractor would touch the fibre, and we are about to pitch it on national television. Atlantic Canada has the same problem we had, a raw material with no processing chain.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29" ht="200" customHeight="1" s="26">
      <c r="A29" s="46" t="inlineStr">
        <is>
          <t>editors@nunatsiaq.com</t>
        </is>
      </c>
      <c r="B29" s="46" t="inlineStr">
        <is>
          <t>Nunatsiaq News</t>
        </is>
      </c>
      <c r="C29" s="46" t="inlineStr">
        <is>
          <t>Rédaction</t>
        </is>
      </c>
      <c r="D29" s="46" t="inlineStr">
        <is>
          <t>H</t>
        </is>
      </c>
      <c r="E29" s="46" t="inlineStr">
        <is>
          <t>Quebec milkweed on Dragons' Den, this Thursday</t>
        </is>
      </c>
      <c r="F29" s="46"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G29" s="46" t="inlineStr">
        <is>
          <t>nunatsiaq.com/contact</t>
        </is>
      </c>
      <c r="H29" s="46" t="inlineStr">
        <is>
          <t>2026-09-16 11:02</t>
        </is>
      </c>
      <c r="I29" s="46" t="n"/>
      <c r="J29"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30" ht="200" customHeight="1" s="26">
      <c r="A30" s="46" t="inlineStr">
        <is>
          <t>sarah@cabinradio.ca</t>
        </is>
      </c>
      <c r="B30" s="46" t="inlineStr">
        <is>
          <t>Cabin Radio</t>
        </is>
      </c>
      <c r="C30" s="46" t="inlineStr">
        <is>
          <t>Rédaction, T.N.-O.</t>
        </is>
      </c>
      <c r="D30" s="46" t="inlineStr">
        <is>
          <t>H</t>
        </is>
      </c>
      <c r="E30" s="46" t="inlineStr">
        <is>
          <t>Quebec milkweed on Dragons' Den, this Thursday</t>
        </is>
      </c>
      <c r="F30" s="46"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G30" s="46" t="inlineStr">
        <is>
          <t>cabinradio.ca/contact</t>
        </is>
      </c>
      <c r="H30" s="46" t="inlineStr">
        <is>
          <t>2026-09-16 11:03</t>
        </is>
      </c>
      <c r="I30" s="46" t="n"/>
      <c r="J30"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31" ht="200" customHeight="1" s="26">
      <c r="A31" s="46" t="inlineStr">
        <is>
          <t>newsroom@nnsl.com</t>
        </is>
      </c>
      <c r="B31" s="46" t="inlineStr">
        <is>
          <t>NNSL Media</t>
        </is>
      </c>
      <c r="C31" s="46" t="inlineStr">
        <is>
          <t>Salle de nouvelles, T.N.-O. et Nunavut</t>
        </is>
      </c>
      <c r="D31" s="46" t="inlineStr">
        <is>
          <t>H</t>
        </is>
      </c>
      <c r="E31" s="46" t="inlineStr">
        <is>
          <t>Quebec milkweed on Dragons' Den, this Thursday</t>
        </is>
      </c>
      <c r="F31" s="46"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G31" s="46" t="inlineStr">
        <is>
          <t>nnsl.com/contact-us</t>
        </is>
      </c>
      <c r="H31" s="46" t="inlineStr">
        <is>
          <t>2026-09-16 11:03</t>
        </is>
      </c>
      <c r="I31" s="46" t="n"/>
      <c r="J31"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32" ht="200" customHeight="1" s="26">
      <c r="A32" s="46" t="inlineStr">
        <is>
          <t>newstips@yukon-news.com</t>
        </is>
      </c>
      <c r="B32" s="46" t="inlineStr">
        <is>
          <t>Yukon News</t>
        </is>
      </c>
      <c r="C32" s="46" t="inlineStr">
        <is>
          <t>Ligne de nouvelles</t>
        </is>
      </c>
      <c r="D32" s="46" t="inlineStr">
        <is>
          <t>H</t>
        </is>
      </c>
      <c r="E32" s="46" t="inlineStr">
        <is>
          <t>Quebec milkweed on Dragons' Den, this Thursday</t>
        </is>
      </c>
      <c r="F32" s="46" t="inlineStr">
        <is>
          <t>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t>
        </is>
      </c>
      <c r="G32" s="46" t="inlineStr">
        <is>
          <t>yukon-news.com/contact-us</t>
        </is>
      </c>
      <c r="H32" s="46" t="inlineStr">
        <is>
          <t>2026-09-16 11:04</t>
        </is>
      </c>
      <c r="I32" s="46" t="n"/>
      <c r="J32"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Your readers buy winter coats to work in, not to walk to the car. Ours is insulated with a plant fibre instead of down or polyester, and I would rather have it judged by people who actually need it to hold at forty below than by anyone in a city. I'll send one to a reporter who wants to try it and say publicly what they found, good or bad.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33" ht="200" customHeight="1" s="26">
      <c r="A33" s="46" t="inlineStr">
        <is>
          <t>info@nbmediacoop.org</t>
        </is>
      </c>
      <c r="B33" s="46" t="inlineStr">
        <is>
          <t>NB Media Co-op</t>
        </is>
      </c>
      <c r="C33" s="46" t="inlineStr">
        <is>
          <t>Rédaction</t>
        </is>
      </c>
      <c r="D33" s="46" t="inlineStr">
        <is>
          <t>H</t>
        </is>
      </c>
      <c r="E33" s="46" t="inlineStr">
        <is>
          <t>Quebec milkweed on Dragons' Den, this Thursday</t>
        </is>
      </c>
      <c r="F33" s="46" t="inlineStr">
        <is>
          <t>The farm side of it: milkweed is a weed most growers spray, and a Quebec cooperative of 125 producers lost its only buyer overnight in 2017. We still buy the harvest. That question, whether anyone is waiting at the end of the field, is not specific to Quebec.</t>
        </is>
      </c>
      <c r="G33" s="46" t="inlineStr">
        <is>
          <t>nbmediacoop.org/contact</t>
        </is>
      </c>
      <c r="H33" s="46" t="inlineStr">
        <is>
          <t>2026-09-16 11:04</t>
        </is>
      </c>
      <c r="I33" s="46" t="n"/>
      <c r="J33"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The farm side of it: milkweed is a weed most growers spray, and a Quebec cooperative of 125 producers lost its only buyer overnight in 2017. We still buy the harvest. That question, whether anyone is waiting at the end of the field, is not specific to Quebec.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row r="34" ht="200" customHeight="1" s="26">
      <c r="A34" s="46" t="inlineStr">
        <is>
          <t>editor@betterfarming.com</t>
        </is>
      </c>
      <c r="B34" s="46" t="inlineStr">
        <is>
          <t>Better Farming</t>
        </is>
      </c>
      <c r="C34" s="46" t="inlineStr">
        <is>
          <t>Rédaction</t>
        </is>
      </c>
      <c r="D34" s="46" t="inlineStr">
        <is>
          <t>H</t>
        </is>
      </c>
      <c r="E34" s="46" t="inlineStr">
        <is>
          <t>Quebec milkweed on Dragons' Den, this Thursday</t>
        </is>
      </c>
      <c r="F34" s="46" t="inlineStr">
        <is>
          <t>The farm side: milkweed is a weed most growers spray, and a Quebec filière has been trying since 2013 to make it pay at the field gate. It stopped on October 11, 2017, when the group that had reserved 90 per cent of the Quebec crop went bankrupt and 125 growers lost their buyer overnight[, as Radio-Canada reported at the time](https://ici.radio-canada.ca/nouvelle/1061543/asclepiade-soyer-producteurs-industries-encore3-faillite-monark). We still buy the harvest, and that is the part that decides whether anyone plants it again.</t>
        </is>
      </c>
      <c r="G34" s="46" t="inlineStr">
        <is>
          <t>betterfarming.com/contact</t>
        </is>
      </c>
      <c r="H34" s="46" t="inlineStr">
        <is>
          <t>2026-09-16 11:05</t>
        </is>
      </c>
      <c r="I34" s="46" t="n"/>
      <c r="J34" s="46" t="inlineStr">
        <is>
          <t>Hello,
My name is Gabriel Gouveia, founder of [Lasclay](https://lasclay.com/en-us). We insulate winter clothing with a weed called milkweed, which we grow to help save an emblematic, threatened pollinator: the monarch butterfly.
Its pods are filled with a hollow floss, very light and naturally water-repellent. We turn it into insulation in Quebec City and put it into coats, mitts, toques and cooler bags sold across Canada and the United States.
Milkweed is not an imported plant: it is a [weed native to eastern Canada](https://lasclay.com/en-us/pages/milkweed-plant-fiber), which is exactly why [the monarch depends on it](https://lasclay.com/en-us/pages/monarch-butterfly). It also has a longer history than we do. We wrote down what we found: [American silk in New France](https://lasclay.com/en-us/blogs/journal/soie-amerique-nouvelle-france), [the children who picked it for Second World War life jackets](https://lasclay.com/en-us/blogs/journal/asclepiade-seconde-guerre-mondiale), and [the story of the Quebec industry](https://lasclay.com/en-us/blogs/journal/histoire-industrie-asclepiade-quebec).
The farm side: milkweed is a weed most growers spray, and a Quebec filière has been trying since 2013 to make it pay at the field gate. It stopped on October 11, 2017, when the group that had reserved 90 per cent of the Quebec crop went bankrupt and 125 growers lost their buyer overnight[, as Radio-Canada reported at the time](https://ici.radio-canada.ca/nouvelle/1061543/asclepiade-soyer-producteurs-industries-encore3-faillite-monark). We still buy the harvest, and that is the part that decides whether anyone plants it again.
This Thursday, September 17, Lasclay is in the first episode of season 21 of Dragons' Den, on CBC and CBC Gem at 8 p.m. (8:30 NT).
If you'd like to cover it, or a colleague might, [our media kit is here](https://drive.google.com/drive/folders/1pyCUbfHYQhpXXl4FoCC2RCFXKRvGS5Zr), with images from the Dragons' Den floor and of the company.
I'm hoping this visibility moves sales, which more broadly is very good news for the Quebec milkweed growers we keep buying from, and for the threatened monarchs that keep breeding in their fields.
Happy to answer any questions, and available for an interview this week.
Warmly,
__
Gabriel Gouveia
Co-founder
+1 (581) 982-5857
Lasclay.com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2026-08-31T17:37:19Z</dcterms:created>
  <dcterms:modified xsi:type="dcterms:W3CDTF">2026-09-16T16:32:19Z</dcterms:modified>
  <cp:revision>0</cp:revision>
</cp:coreProperties>
</file>