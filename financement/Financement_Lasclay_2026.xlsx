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priorisé" sheetId="1" state="visible" r:id="rId1"/>
    <sheet name="Écartés" sheetId="2" state="visible" r:id="rId2"/>
    <sheet name="Calendrier 24 mois" sheetId="3" state="visible" r:id="rId3"/>
    <sheet name="Diagnostic QBO" sheetId="4" state="visible" r:id="rId4"/>
    <sheet name="Sources" sheetId="5" state="visible" r:id="rId5"/>
  </sheets>
  <definedNames>
    <definedName name="_xlnm._FilterDatabase" localSheetId="0" hidden="1">'Plan priorisé'!$A$4:$P$37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26"/>
      <sz val="14"/>
    </font>
    <font>
      <name val="Arial"/>
      <i val="1"/>
      <color rgb="005A6152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563C1"/>
      <sz val="8"/>
    </font>
    <font>
      <name val="Arial"/>
      <b val="1"/>
      <color rgb="001F3826"/>
      <sz val="9"/>
    </font>
    <font>
      <name val="Arial"/>
      <color rgb="004A5044"/>
      <sz val="8"/>
    </font>
    <font>
      <name val="Arial"/>
      <b val="1"/>
      <color rgb="001F3826"/>
      <sz val="10"/>
    </font>
    <font>
      <name val="Arial"/>
      <i val="1"/>
      <color rgb="005A6152"/>
      <sz val="8"/>
    </font>
  </fonts>
  <fills count="8">
    <fill>
      <patternFill/>
    </fill>
    <fill>
      <patternFill patternType="gray125"/>
    </fill>
    <fill>
      <patternFill patternType="solid">
        <fgColor rgb="001F3826"/>
      </patternFill>
    </fill>
    <fill>
      <patternFill patternType="solid">
        <fgColor rgb="00DCE9D5"/>
      </patternFill>
    </fill>
    <fill>
      <patternFill patternType="solid">
        <fgColor rgb="00FDF3D8"/>
      </patternFill>
    </fill>
    <fill>
      <patternFill patternType="solid">
        <fgColor rgb="00EDEDED"/>
      </patternFill>
    </fill>
    <fill>
      <patternFill patternType="solid">
        <fgColor rgb="00E8ECE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C5B8"/>
      </left>
      <right style="thin">
        <color rgb="00BFC5B8"/>
      </right>
      <top style="thin">
        <color rgb="00BFC5B8"/>
      </top>
      <bottom style="thin">
        <color rgb="00BFC5B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0" borderId="0" pivotButton="0" quotePrefix="0" xfId="0"/>
    <xf numFmtId="164" fontId="5" fillId="6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65" fontId="5" fillId="0" borderId="1" applyAlignment="1" pivotButton="0" quotePrefix="0" xfId="0">
      <alignment horizontal="right" vertical="top"/>
    </xf>
    <xf numFmtId="0" fontId="9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11" customWidth="1" min="4" max="4"/>
    <col width="24" customWidth="1" min="5" max="5"/>
    <col width="14" customWidth="1" min="6" max="6"/>
    <col width="13" customWidth="1" min="7" max="7"/>
    <col width="13" customWidth="1" min="8" max="8"/>
    <col width="22" customWidth="1" min="9" max="9"/>
    <col width="26" customWidth="1" min="10" max="10"/>
    <col width="34" customWidth="1" min="11" max="11"/>
    <col width="14" customWidth="1" min="12" max="12"/>
    <col width="9" customWidth="1" min="13" max="13"/>
    <col width="58" customWidth="1" min="14" max="14"/>
    <col width="64" customWidth="1" min="15" max="15"/>
    <col width="46" customWidth="1" min="16" max="16"/>
  </cols>
  <sheetData>
    <row r="1" ht="24" customHeight="1">
      <c r="A1" s="1" t="inlineStr">
        <is>
          <t>Financement public — plan priorisé pour Les Produits Lasclay Inc</t>
        </is>
      </c>
    </row>
    <row r="2" ht="16" customHeight="1">
      <c r="A2" s="2" t="inlineStr">
        <is>
          <t>Priorité = certitude d'admissibilité × argent net × absence de mise de fonds. Verdicts validés contre les données QuickBooks au 5 août 2026 (voir onglet Diagnostic QBO).</t>
        </is>
      </c>
    </row>
    <row r="4" ht="32" customHeight="1">
      <c r="A4" s="3" t="inlineStr">
        <is>
          <t>Rang</t>
        </is>
      </c>
      <c r="B4" s="3" t="inlineStr">
        <is>
          <t>Programme</t>
        </is>
      </c>
      <c r="C4" s="3" t="inlineStr">
        <is>
          <t>Organisme</t>
        </is>
      </c>
      <c r="D4" s="3" t="inlineStr">
        <is>
          <t>Palier</t>
        </is>
      </c>
      <c r="E4" s="3" t="inlineStr">
        <is>
          <t>Type d'aide</t>
        </is>
      </c>
      <c r="F4" s="3" t="inlineStr">
        <is>
          <t>Verdict</t>
        </is>
      </c>
      <c r="G4" s="3" t="inlineStr">
        <is>
          <t>Montant min ($)</t>
        </is>
      </c>
      <c r="H4" s="3" t="inlineStr">
        <is>
          <t>Montant max ($)</t>
        </is>
      </c>
      <c r="I4" s="3" t="inlineStr">
        <is>
          <t>Mise de fonds requise</t>
        </is>
      </c>
      <c r="J4" s="3" t="inlineStr">
        <is>
          <t>Statut au 5 août 2026</t>
        </is>
      </c>
      <c r="K4" s="3" t="inlineStr">
        <is>
          <t>Prochaine fenêtre / date clé</t>
        </is>
      </c>
      <c r="L4" s="3" t="inlineStr">
        <is>
          <t>Trimestre cible</t>
        </is>
      </c>
      <c r="M4" s="3" t="inlineStr">
        <is>
          <t>Effort</t>
        </is>
      </c>
      <c r="N4" s="3" t="inlineStr">
        <is>
          <t>Motif du verdict (validé)</t>
        </is>
      </c>
      <c r="O4" s="3" t="inlineStr">
        <is>
          <t>Angle Lasclay</t>
        </is>
      </c>
      <c r="P4" s="3" t="inlineStr">
        <is>
          <t>Lien</t>
        </is>
      </c>
    </row>
    <row r="5" ht="58" customHeight="1">
      <c r="A5" s="4" t="n">
        <v>1</v>
      </c>
      <c r="B5" s="5" t="inlineStr">
        <is>
          <t>RS&amp;DE — encouragements fiscaux à la R-D</t>
        </is>
      </c>
      <c r="C5" s="5" t="inlineStr">
        <is>
          <t>ARC (Agence du revenu du Canada)</t>
        </is>
      </c>
      <c r="D5" s="5" t="inlineStr">
        <is>
          <t>Fédéral</t>
        </is>
      </c>
      <c r="E5" s="5" t="inlineStr">
        <is>
          <t>Crédit d'impôt remboursable</t>
        </is>
      </c>
      <c r="F5" s="6" t="inlineStr">
        <is>
          <t>Admissible</t>
        </is>
      </c>
      <c r="G5" s="7" t="n">
        <v>30000</v>
      </c>
      <c r="H5" s="7" t="n">
        <v>45000</v>
      </c>
      <c r="I5" s="5" t="inlineStr">
        <is>
          <t>Aucune</t>
        </is>
      </c>
      <c r="J5" s="5" t="inlineStr">
        <is>
          <t>Ouvert en continu</t>
        </is>
      </c>
      <c r="K5" s="5" t="inlineStr">
        <is>
          <t>Limites FERMES : 28 fév 2027 (FY25), 28 fév 2028 (FY26)</t>
        </is>
      </c>
      <c r="L5" s="5" t="inlineStr">
        <is>
          <t>FY27 T1</t>
        </is>
      </c>
      <c r="M5" s="5" t="inlineStr">
        <is>
          <t>Moyen</t>
        </is>
      </c>
      <c r="N5" s="8" t="inlineStr">
        <is>
          <t>103 364 $ de salaires portés au compte 6061 RSDE en FY2026, plus 7 112 $ de matériaux. SPCC : 35 % remboursable en argent.</t>
        </is>
      </c>
      <c r="O5" s="8" t="inlineStr">
        <is>
          <t>Argent comptant sur des salaires déjà payés, sans mise de fonds. Première action : confirmer avec le comptable si la réclamation FY2025 a été produite.</t>
        </is>
      </c>
      <c r="P5" s="9" t="inlineStr">
        <is>
          <t>https://www.canada.ca/fr/agence-revenu/services/impot/entreprises/sujets/recherche-scientifique-developpement-experimental-programme-encouragements-fiscaux.html</t>
        </is>
      </c>
    </row>
    <row r="6" ht="58" customHeight="1">
      <c r="A6" s="4" t="n">
        <v>2</v>
      </c>
      <c r="B6" s="5" t="inlineStr">
        <is>
          <t>CRIC — R-D, innovation et précommercialisation</t>
        </is>
      </c>
      <c r="C6" s="5" t="inlineStr">
        <is>
          <t>Revenu Québec</t>
        </is>
      </c>
      <c r="D6" s="5" t="inlineStr">
        <is>
          <t>Québec</t>
        </is>
      </c>
      <c r="E6" s="5" t="inlineStr">
        <is>
          <t>Crédit d'impôt remboursable</t>
        </is>
      </c>
      <c r="F6" s="6" t="inlineStr">
        <is>
          <t>Admissible</t>
        </is>
      </c>
      <c r="G6" s="7" t="n">
        <v>15000</v>
      </c>
      <c r="H6" s="7" t="n">
        <v>25000</v>
      </c>
      <c r="I6" s="5" t="inlineStr">
        <is>
          <t>Aucune</t>
        </is>
      </c>
      <c r="J6" s="5" t="inlineStr">
        <is>
          <t>En vigueur (exercices ouverts après le 25 mars 2025)</t>
        </is>
      </c>
      <c r="K6" s="5" t="inlineStr">
        <is>
          <t>Avec la déclaration fiscale annuelle</t>
        </is>
      </c>
      <c r="L6" s="5" t="inlineStr">
        <is>
          <t>FY27 T1</t>
        </is>
      </c>
      <c r="M6" s="5" t="inlineStr">
        <is>
          <t>Moyen</t>
        </is>
      </c>
      <c r="N6" s="8" t="inlineStr">
        <is>
          <t>Remplace 8 anciens crédits québécois. 30 % sur le premier 1 M$ de dépenses admissibles. S'applique déjà à FY2026.</t>
        </is>
      </c>
      <c r="O6" s="8" t="inlineStr">
        <is>
          <t>Se réclame en tandem avec la RS&amp;DE fédérale. L'aide provinciale réduit l'assiette fédérale : faire modéliser le combiné, ne pas additionner naïvement.</t>
        </is>
      </c>
      <c r="P6" s="9" t="inlineStr">
        <is>
          <t>https://www.revenuquebec.ca/fr/entreprises/impots/impot-des-societes/credits-dimpot-des-societes/</t>
        </is>
      </c>
    </row>
    <row r="7" ht="58" customHeight="1">
      <c r="A7" s="4" t="n">
        <v>3</v>
      </c>
      <c r="B7" s="5" t="inlineStr">
        <is>
          <t>C3i — investissement et innovation</t>
        </is>
      </c>
      <c r="C7" s="5" t="inlineStr">
        <is>
          <t>Revenu Québec</t>
        </is>
      </c>
      <c r="D7" s="5" t="inlineStr">
        <is>
          <t>Québec</t>
        </is>
      </c>
      <c r="E7" s="5" t="inlineStr">
        <is>
          <t>Crédit d'impôt remboursable</t>
        </is>
      </c>
      <c r="F7" s="10" t="inlineStr">
        <is>
          <t>À valider</t>
        </is>
      </c>
      <c r="G7" s="7" t="n">
        <v>0</v>
      </c>
      <c r="H7" s="7" t="n">
        <v>25000</v>
      </c>
      <c r="I7" s="5" t="inlineStr">
        <is>
          <t>L'achat d'équipement lui-même</t>
        </is>
      </c>
      <c r="J7" s="5" t="inlineStr">
        <is>
          <t>En vigueur</t>
        </is>
      </c>
      <c r="K7" s="5" t="inlineStr">
        <is>
          <t>Avec la déclaration fiscale annuelle</t>
        </is>
      </c>
      <c r="L7" s="5" t="inlineStr">
        <is>
          <t>FY27-FY28</t>
        </is>
      </c>
      <c r="M7" s="5" t="inlineStr">
        <is>
          <t>Faible</t>
        </is>
      </c>
      <c r="N7" s="8" t="inlineStr">
        <is>
          <t>15 % à 25 % du coût du matériel de fabrication et transformation (catégorie 53) et des logiciels de gestion, utilisé au Québec 730 jours consécutifs.</t>
        </is>
      </c>
      <c r="O7" s="8" t="inlineStr">
        <is>
          <t>187 487 $ d'immobilisations aux livres, dont 135 851 $ d'équipements. Ne se cumule PAS avec le CRIC sur la même dépense : arbitrer avec le comptable.</t>
        </is>
      </c>
      <c r="P7" s="9" t="inlineStr">
        <is>
          <t>https://www.revenuquebec.ca/fr/entreprises/impots/impot-des-societes/credits-dimpot-des-societes/</t>
        </is>
      </c>
    </row>
    <row r="8" ht="58" customHeight="1">
      <c r="A8" s="4" t="n">
        <v>4</v>
      </c>
      <c r="B8" s="5" t="inlineStr">
        <is>
          <t>PARI-CNRC</t>
        </is>
      </c>
      <c r="C8" s="5" t="inlineStr">
        <is>
          <t>Conseil national de recherches Canada</t>
        </is>
      </c>
      <c r="D8" s="5" t="inlineStr">
        <is>
          <t>Fédéral</t>
        </is>
      </c>
      <c r="E8" s="5" t="inlineStr">
        <is>
          <t>Contribution non remboursable</t>
        </is>
      </c>
      <c r="F8" s="6" t="inlineStr">
        <is>
          <t>Admissible</t>
        </is>
      </c>
      <c r="G8" s="7" t="n">
        <v>20000</v>
      </c>
      <c r="H8" s="7" t="n">
        <v>150000</v>
      </c>
      <c r="I8" s="5" t="inlineStr">
        <is>
          <t>20 % des salaires</t>
        </is>
      </c>
      <c r="J8" s="5" t="inlineStr">
        <is>
          <t>Ouvert en continu</t>
        </is>
      </c>
      <c r="K8" s="5" t="inlineStr">
        <is>
          <t>Demander un conseiller CTI dès maintenant</t>
        </is>
      </c>
      <c r="L8" s="5" t="inlineStr">
        <is>
          <t>FY27 T1</t>
        </is>
      </c>
      <c r="M8" s="5" t="inlineStr">
        <is>
          <t>Moyen</t>
        </is>
      </c>
      <c r="N8" s="8" t="inlineStr">
        <is>
          <t>PME canadienne de moins de 500 employés développant un produit ou procédé novateur. 80 % des salaires, 50 % des sous-traitants.</t>
        </is>
      </c>
      <c r="O8" s="8" t="inlineStr">
        <is>
          <t>Matelassage d'une fibre volatile, inserts amovibles, gants isolés : projets défendables. ATTENTION : une contribution PARI réduit l'assiette RS&amp;DE sur les mêmes dollars.</t>
        </is>
      </c>
      <c r="P8" s="9" t="inlineStr">
        <is>
          <t>https://nrc.canada.ca/fr/soutien-linnovation-technologique/propos-programme-daide-recherche-industrielle-cnrc</t>
        </is>
      </c>
    </row>
    <row r="9" ht="58" customHeight="1">
      <c r="A9" s="4" t="n">
        <v>5</v>
      </c>
      <c r="B9" s="5" t="inlineStr">
        <is>
          <t>Allonger les périodes d'emploi</t>
        </is>
      </c>
      <c r="C9" s="5" t="inlineStr">
        <is>
          <t>Services Québec (MESS)</t>
        </is>
      </c>
      <c r="D9" s="5" t="inlineStr">
        <is>
          <t>Québec</t>
        </is>
      </c>
      <c r="E9" s="5" t="inlineStr">
        <is>
          <t>Subvention salariale</t>
        </is>
      </c>
      <c r="F9" s="6" t="inlineStr">
        <is>
          <t>Admissible</t>
        </is>
      </c>
      <c r="G9" s="7" t="n">
        <v>3000</v>
      </c>
      <c r="H9" s="7" t="n">
        <v>13000</v>
      </c>
      <c r="I9" s="5" t="inlineStr">
        <is>
          <t>50 % du salaire</t>
        </is>
      </c>
      <c r="J9" s="5" t="inlineStr">
        <is>
          <t>Ouvert en continu</t>
        </is>
      </c>
      <c r="K9" s="5" t="inlineStr">
        <is>
          <t>Via un conseiller aux entreprises Services Québec</t>
        </is>
      </c>
      <c r="L9" s="5" t="inlineStr">
        <is>
          <t>FY27 T1</t>
        </is>
      </c>
      <c r="M9" s="5" t="inlineStr">
        <is>
          <t>Faible</t>
        </is>
      </c>
      <c r="N9" s="8" t="inlineStr">
        <is>
          <t>50 % du salaire brut, maximum 6 500 $ par emploi par année. Le projet doit être récurrent et allonger la saison de travail.</t>
        </is>
      </c>
      <c r="O9" s="8" t="inlineStr">
        <is>
          <t>Taillé pour la saisonnalité hivernale de Lasclay. Le développement de la gamme été et plein air EST le projet de diversification que le programme finance.</t>
        </is>
      </c>
      <c r="P9" s="9" t="inlineStr">
        <is>
          <t>https://www.quebec.ca/entreprises-et-travailleurs-autonomes/administrer-gerer/embauche-gestion-personnel/aide-gestion-ressources-humaines/allonger-periodes-emploi</t>
        </is>
      </c>
    </row>
    <row r="10" ht="58" customHeight="1">
      <c r="A10" s="4" t="n">
        <v>6</v>
      </c>
      <c r="B10" s="5" t="inlineStr">
        <is>
          <t>Mesure de formation de la main-d'œuvre</t>
        </is>
      </c>
      <c r="C10" s="5" t="inlineStr">
        <is>
          <t>Services Québec</t>
        </is>
      </c>
      <c r="D10" s="5" t="inlineStr">
        <is>
          <t>Québec</t>
        </is>
      </c>
      <c r="E10" s="5" t="inlineStr">
        <is>
          <t>Subvention</t>
        </is>
      </c>
      <c r="F10" s="6" t="inlineStr">
        <is>
          <t>Admissible</t>
        </is>
      </c>
      <c r="G10" s="7" t="n">
        <v>2000</v>
      </c>
      <c r="H10" s="7" t="n">
        <v>15000</v>
      </c>
      <c r="I10" s="5" t="inlineStr">
        <is>
          <t>Variable</t>
        </is>
      </c>
      <c r="J10" s="5" t="inlineStr">
        <is>
          <t>Ouvert en continu</t>
        </is>
      </c>
      <c r="K10" s="5" t="inlineStr">
        <is>
          <t>Via le même conseiller</t>
        </is>
      </c>
      <c r="L10" s="5" t="inlineStr">
        <is>
          <t>FY27 T1</t>
        </is>
      </c>
      <c r="M10" s="5" t="inlineStr">
        <is>
          <t>Faible</t>
        </is>
      </c>
      <c r="N10" s="8" t="inlineStr">
        <is>
          <t>Couvre les frais de formateur et les salaires des employés pendant la formation, y compris pour la transformation numérique.</t>
        </is>
      </c>
      <c r="O10" s="8" t="inlineStr">
        <is>
          <t>Équipe réduite à environ 2 personnes après le virage : la montée en compétences des restants tient les opérations.</t>
        </is>
      </c>
      <c r="P10" s="9" t="inlineStr">
        <is>
          <t>https://www.quebec.ca/entreprises-et-travailleurs-autonomes/administrer-gerer/embauche-gestion-personnel/former-main-oeuvre/developper-competences</t>
        </is>
      </c>
    </row>
    <row r="11" ht="58" customHeight="1">
      <c r="A11" s="4" t="n">
        <v>7</v>
      </c>
      <c r="B11" s="5" t="inlineStr">
        <is>
          <t>Concertation pour l'emploi (GRH)</t>
        </is>
      </c>
      <c r="C11" s="5" t="inlineStr">
        <is>
          <t>Services Québec</t>
        </is>
      </c>
      <c r="D11" s="5" t="inlineStr">
        <is>
          <t>Québec</t>
        </is>
      </c>
      <c r="E11" s="5" t="inlineStr">
        <is>
          <t>Subvention</t>
        </is>
      </c>
      <c r="F11" s="6" t="inlineStr">
        <is>
          <t>Admissible</t>
        </is>
      </c>
      <c r="G11" s="7" t="n">
        <v>2000</v>
      </c>
      <c r="H11" s="7" t="n">
        <v>10000</v>
      </c>
      <c r="I11" s="5" t="inlineStr">
        <is>
          <t>Variable</t>
        </is>
      </c>
      <c r="J11" s="5" t="inlineStr">
        <is>
          <t>Ouvert en continu</t>
        </is>
      </c>
      <c r="K11" s="5" t="inlineStr">
        <is>
          <t>Via le même conseiller</t>
        </is>
      </c>
      <c r="L11" s="5" t="inlineStr">
        <is>
          <t>FY27 T1</t>
        </is>
      </c>
      <c r="M11" s="5" t="inlineStr">
        <is>
          <t>Faible</t>
        </is>
      </c>
      <c r="N11" s="8" t="inlineStr">
        <is>
          <t>Honoraires professionnels : diagnostic RH, mandat de consultation, coaching de gestion, accompagnement en gestion du changement.</t>
        </is>
      </c>
      <c r="O11" s="8" t="inlineStr">
        <is>
          <t>Le virage manufacturier 2025-2026, avec mises à pied et redéfinition des rôles, est une gestion du changement documentée.</t>
        </is>
      </c>
      <c r="P11" s="9" t="inlineStr">
        <is>
          <t>https://www.quebec.ca/entreprises-et-travailleurs-autonomes/administrer-gerer/embauche-gestion-personnel/aide-gestion-ressources-humaines/obtenir-conseils</t>
        </is>
      </c>
    </row>
    <row r="12" ht="58" customHeight="1">
      <c r="A12" s="4" t="n">
        <v>8</v>
      </c>
      <c r="B12" s="5" t="inlineStr">
        <is>
          <t>PARI — Programme emploi jeunesse</t>
        </is>
      </c>
      <c r="C12" s="5" t="inlineStr">
        <is>
          <t>Conseil national de recherches Canada</t>
        </is>
      </c>
      <c r="D12" s="5" t="inlineStr">
        <is>
          <t>Fédéral</t>
        </is>
      </c>
      <c r="E12" s="5" t="inlineStr">
        <is>
          <t>Subvention salariale</t>
        </is>
      </c>
      <c r="F12" s="6" t="inlineStr">
        <is>
          <t>Admissible</t>
        </is>
      </c>
      <c r="G12" s="7" t="n">
        <v>15000</v>
      </c>
      <c r="H12" s="7" t="n">
        <v>30000</v>
      </c>
      <c r="I12" s="5" t="inlineStr">
        <is>
          <t>Part du salaire</t>
        </is>
      </c>
      <c r="J12" s="5" t="inlineStr">
        <is>
          <t>Ouvert</t>
        </is>
      </c>
      <c r="K12" s="5" t="inlineStr">
        <is>
          <t>À déposer avec le dossier PARI principal</t>
        </is>
      </c>
      <c r="L12" s="5" t="inlineStr">
        <is>
          <t>FY27 T1</t>
        </is>
      </c>
      <c r="M12" s="5" t="inlineStr">
        <is>
          <t>Faible</t>
        </is>
      </c>
      <c r="N12" s="8" t="inlineStr">
        <is>
          <t>Diplômé postsecondaire de 15 à 30 ans, 6 à 12 mois, minimum 30 h/semaine. Volets R-D, génie, multimédia ou étude de marché.</t>
        </is>
      </c>
      <c r="O12" s="8" t="inlineStr">
        <is>
          <t>Le volet étude de marché couvre exactement le travail d'expansion américaine par régions réceptives.</t>
        </is>
      </c>
      <c r="P12" s="9" t="inlineStr">
        <is>
          <t>https://nrc.canada.ca/fr/soutien-linnovation-technologique/largent-pari-cnrc-embaucher-jeunes-diplomes</t>
        </is>
      </c>
    </row>
    <row r="13" ht="58" customHeight="1">
      <c r="A13" s="4" t="n">
        <v>9</v>
      </c>
      <c r="B13" s="5" t="inlineStr">
        <is>
          <t>Stages pratiques PSPE (Magnet, CTIC, TECHNATION, BioTalent)</t>
        </is>
      </c>
      <c r="C13" s="5" t="inlineStr">
        <is>
          <t>ESDC via partenaires sectoriels</t>
        </is>
      </c>
      <c r="D13" s="5" t="inlineStr">
        <is>
          <t>Fédéral</t>
        </is>
      </c>
      <c r="E13" s="5" t="inlineStr">
        <is>
          <t>Subvention salariale</t>
        </is>
      </c>
      <c r="F13" s="6" t="inlineStr">
        <is>
          <t>Admissible</t>
        </is>
      </c>
      <c r="G13" s="7" t="n">
        <v>5000</v>
      </c>
      <c r="H13" s="7" t="n">
        <v>15000</v>
      </c>
      <c r="I13" s="5" t="inlineStr">
        <is>
          <t>Salaire avancé, remboursé après</t>
        </is>
      </c>
      <c r="J13" s="5" t="inlineStr">
        <is>
          <t>Ouvert par trimestre scolaire</t>
        </is>
      </c>
      <c r="K13" s="5" t="inlineStr">
        <is>
          <t>Premier arrivé, premier servi</t>
        </is>
      </c>
      <c r="L13" s="5" t="inlineStr">
        <is>
          <t>FY27 T2</t>
        </is>
      </c>
      <c r="M13" s="5" t="inlineStr">
        <is>
          <t>Faible</t>
        </is>
      </c>
      <c r="N13" s="8" t="inlineStr">
        <is>
          <t>5 000 $ par stage d'étudiant postsecondaire. Postes à composante numérique ou technologique priorisés.</t>
        </is>
      </c>
      <c r="O13" s="8" t="inlineStr">
        <is>
          <t>Un poste en commerce électronique, automatisation ou données qualifie sans forcer. Déposer chez UN SEUL partenaire : c'est la même enveloppe fédérale.</t>
        </is>
      </c>
      <c r="P13" s="9" t="inlineStr">
        <is>
          <t>https://swpprogram.ca/fr/</t>
        </is>
      </c>
    </row>
    <row r="14" ht="58" customHeight="1">
      <c r="A14" s="4" t="n">
        <v>10</v>
      </c>
      <c r="B14" s="5" t="inlineStr">
        <is>
          <t>Emplois d'été Canada</t>
        </is>
      </c>
      <c r="C14" s="5" t="inlineStr">
        <is>
          <t>Emploi et Développement social Canada</t>
        </is>
      </c>
      <c r="D14" s="5" t="inlineStr">
        <is>
          <t>Fédéral</t>
        </is>
      </c>
      <c r="E14" s="5" t="inlineStr">
        <is>
          <t>Subvention salariale</t>
        </is>
      </c>
      <c r="F14" s="6" t="inlineStr">
        <is>
          <t>Admissible</t>
        </is>
      </c>
      <c r="G14" s="7" t="n">
        <v>3000</v>
      </c>
      <c r="H14" s="7" t="n">
        <v>8000</v>
      </c>
      <c r="I14" s="5" t="inlineStr">
        <is>
          <t>50 % du salaire minimum</t>
        </is>
      </c>
      <c r="J14" s="5" t="inlineStr">
        <is>
          <t>Fermé — rouvre vers novembre 2026</t>
        </is>
      </c>
      <c r="K14" s="5" t="inlineStr">
        <is>
          <t>Date limite attendue ~11 décembre 2026 pour l'été 2027</t>
        </is>
      </c>
      <c r="L14" s="5" t="inlineStr">
        <is>
          <t>FY27 T2</t>
        </is>
      </c>
      <c r="M14" s="5" t="inlineStr">
        <is>
          <t>Faible</t>
        </is>
      </c>
      <c r="N14" s="8" t="inlineStr">
        <is>
          <t>Secteur privé : jusqu'à 50 % du salaire minimum en vigueur. Jeunes de 15 à 30 ans, postes à temps plein.</t>
        </is>
      </c>
      <c r="O14" s="8" t="inlineStr">
        <is>
          <t>Renfort d'atelier ou d'expédition pour la production estivale, en amont de la saison hivernale.</t>
        </is>
      </c>
      <c r="P14" s="9" t="inlineStr">
        <is>
          <t>https://www.canada.ca/fr/emploi-developpement-social/services/financement/emplois-ete-canada.html</t>
        </is>
      </c>
    </row>
    <row r="15" ht="58" customHeight="1">
      <c r="A15" s="4" t="n">
        <v>11</v>
      </c>
      <c r="B15" s="5" t="inlineStr">
        <is>
          <t>Riipen — Level UP</t>
        </is>
      </c>
      <c r="C15" s="5" t="inlineStr">
        <is>
          <t>Riipen</t>
        </is>
      </c>
      <c r="D15" s="5" t="inlineStr">
        <is>
          <t>Fédéral</t>
        </is>
      </c>
      <c r="E15" s="5" t="inlineStr">
        <is>
          <t>Subvention</t>
        </is>
      </c>
      <c r="F15" s="6" t="inlineStr">
        <is>
          <t>Admissible</t>
        </is>
      </c>
      <c r="G15" s="7" t="n">
        <v>1400</v>
      </c>
      <c r="H15" s="7" t="n">
        <v>4200</v>
      </c>
      <c r="I15" s="5" t="inlineStr">
        <is>
          <t>Aucune</t>
        </is>
      </c>
      <c r="J15" s="5" t="inlineStr">
        <is>
          <t>Ouvert</t>
        </is>
      </c>
      <c r="K15" s="5" t="inlineStr">
        <is>
          <t>Par semestre universitaire</t>
        </is>
      </c>
      <c r="L15" s="5" t="inlineStr">
        <is>
          <t>FY27 T2</t>
        </is>
      </c>
      <c r="M15" s="5" t="inlineStr">
        <is>
          <t>Faible</t>
        </is>
      </c>
      <c r="N15" s="8" t="inlineStr">
        <is>
          <t>1 400 $ par étudiant. Projets de 60 heures sur 2 à 8 semaines, encadrés par un enseignant.</t>
        </is>
      </c>
      <c r="O15" s="8" t="inlineStr">
        <is>
          <t>Format parfait pour des mandats bornés : localisation des fiches produits pour les marchés américains, refonte du guide de plantation, analyse de saisonnalité.</t>
        </is>
      </c>
      <c r="P15" s="9" t="inlineStr">
        <is>
          <t>https://fr.riipen.com/levelup/employers</t>
        </is>
      </c>
    </row>
    <row r="16" ht="58" customHeight="1">
      <c r="A16" s="4" t="n">
        <v>12</v>
      </c>
      <c r="B16" s="5" t="inlineStr">
        <is>
          <t>Mitacs Accélération</t>
        </is>
      </c>
      <c r="C16" s="5" t="inlineStr">
        <is>
          <t>Mitacs + MEIE</t>
        </is>
      </c>
      <c r="D16" s="5" t="inlineStr">
        <is>
          <t>Fédéral et Québec</t>
        </is>
      </c>
      <c r="E16" s="5" t="inlineStr">
        <is>
          <t>Subvention</t>
        </is>
      </c>
      <c r="F16" s="6" t="inlineStr">
        <is>
          <t>Admissible</t>
        </is>
      </c>
      <c r="G16" s="7" t="n">
        <v>7500</v>
      </c>
      <c r="H16" s="7" t="n">
        <v>30000</v>
      </c>
      <c r="I16" s="5" t="inlineStr">
        <is>
          <t>Environ 50 %</t>
        </is>
      </c>
      <c r="J16" s="5" t="inlineStr">
        <is>
          <t>Ouvert en continu</t>
        </is>
      </c>
      <c r="K16" s="5" t="inlineStr">
        <is>
          <t>Via un conseiller Mitacs en développement des affaires</t>
        </is>
      </c>
      <c r="L16" s="5" t="inlineStr">
        <is>
          <t>FY27 T3</t>
        </is>
      </c>
      <c r="M16" s="5" t="inlineStr">
        <is>
          <t>Moyen</t>
        </is>
      </c>
      <c r="N16" s="8" t="inlineStr">
        <is>
          <t>Stagiaires universitaires, postdoctoraux et chercheurs intégrés à un projet d'innovation en entreprise. Financement partagé MEIE, entreprise, fédéral.</t>
        </is>
      </c>
      <c r="O16" s="8" t="inlineStr">
        <is>
          <t>Le meilleur véhicule pour faire caractériser la fibre en laboratoire : conductivité thermique du produit fini, tenue à la compression, comportement à l'humidité.</t>
        </is>
      </c>
      <c r="P16" s="9" t="inlineStr">
        <is>
          <t>https://www.mitacs.ca/fr-ca/</t>
        </is>
      </c>
    </row>
    <row r="17" ht="58" customHeight="1">
      <c r="A17" s="4" t="n">
        <v>13</v>
      </c>
      <c r="B17" s="5" t="inlineStr">
        <is>
          <t>grand V — accompagnement technologique</t>
        </is>
      </c>
      <c r="C17" s="5" t="inlineStr">
        <is>
          <t>Investissement Québec</t>
        </is>
      </c>
      <c r="D17" s="5" t="inlineStr">
        <is>
          <t>Québec</t>
        </is>
      </c>
      <c r="E17" s="5" t="inlineStr">
        <is>
          <t>Service (sans dette)</t>
        </is>
      </c>
      <c r="F17" s="6" t="inlineStr">
        <is>
          <t>Admissible</t>
        </is>
      </c>
      <c r="G17" s="7" t="n">
        <v>0</v>
      </c>
      <c r="H17" s="7" t="n">
        <v>0</v>
      </c>
      <c r="I17" s="5" t="inlineStr">
        <is>
          <t>Aucune</t>
        </is>
      </c>
      <c r="J17" s="5" t="inlineStr">
        <is>
          <t>Ouvert en continu</t>
        </is>
      </c>
      <c r="K17" s="5" t="inlineStr">
        <is>
          <t>En continu</t>
        </is>
      </c>
      <c r="L17" s="5" t="inlineStr">
        <is>
          <t>FY27 T3</t>
        </is>
      </c>
      <c r="M17" s="5" t="inlineStr">
        <is>
          <t>Faible</t>
        </is>
      </c>
      <c r="N17" s="8" t="inlineStr">
        <is>
          <t>Jusqu'à 100 heures d'experts en innovation. Séparable du volet financement, qui lui est hors de portée.</t>
        </is>
      </c>
      <c r="O17" s="8" t="inlineStr">
        <is>
          <t>Couvre le prototypage d'équipements sur mesure et la valorisation des résidus. Demander SANS le prêt de 250 000 $.</t>
        </is>
      </c>
      <c r="P17" s="9" t="inlineStr">
        <is>
          <t>https://grandv.investquebec.com/</t>
        </is>
      </c>
    </row>
    <row r="18" ht="58" customHeight="1">
      <c r="A18" s="4" t="n">
        <v>14</v>
      </c>
      <c r="B18" s="5" t="inlineStr">
        <is>
          <t>Fonds Écoleader — Biodiversité</t>
        </is>
      </c>
      <c r="C18" s="5" t="inlineStr">
        <is>
          <t>FAQDD / MELCCFP</t>
        </is>
      </c>
      <c r="D18" s="5" t="inlineStr">
        <is>
          <t>Québec</t>
        </is>
      </c>
      <c r="E18" s="5" t="inlineStr">
        <is>
          <t>Contribution non remboursable</t>
        </is>
      </c>
      <c r="F18" s="10" t="inlineStr">
        <is>
          <t>À valider</t>
        </is>
      </c>
      <c r="G18" s="7" t="n">
        <v>10000</v>
      </c>
      <c r="H18" s="7" t="n">
        <v>40000</v>
      </c>
      <c r="I18" s="5" t="inlineStr">
        <is>
          <t>Environ 25 %</t>
        </is>
      </c>
      <c r="J18" s="5" t="inlineStr">
        <is>
          <t>Modalités non publiées</t>
        </is>
      </c>
      <c r="K18" s="5" t="inlineStr">
        <is>
          <t>Annoncé pour le printemps 2026, en retard — relancer chaque mois au 418 692-5888</t>
        </is>
      </c>
      <c r="L18" s="5" t="inlineStr">
        <is>
          <t>FY27 T3</t>
        </is>
      </c>
      <c r="M18" s="5" t="inlineStr">
        <is>
          <t>Moyen</t>
        </is>
      </c>
      <c r="N18" s="8" t="inlineStr">
        <is>
          <t>Enveloppe de 5,7 M$, 2026-2028, Plan nature 2030. Entreprises de toutes tailles. Paie des experts pour intégrer la biodiversité.</t>
        </is>
      </c>
      <c r="O18" s="8" t="inlineStr">
        <is>
          <t>Fit exceptionnel : la thèse d'affaires entière de Lasclay est de rendre l'asclépiade viable pour restaurer l'habitat du monarque.</t>
        </is>
      </c>
      <c r="P18" s="9" t="inlineStr">
        <is>
          <t>https://faqdd.qc.ca/programmes/fonds-ecoleader-biodiversite/</t>
        </is>
      </c>
    </row>
    <row r="19" ht="58" customHeight="1">
      <c r="A19" s="4" t="n">
        <v>15</v>
      </c>
      <c r="B19" s="5" t="inlineStr">
        <is>
          <t>CanExport PME</t>
        </is>
      </c>
      <c r="C19" s="5" t="inlineStr">
        <is>
          <t>Affaires mondiales Canada</t>
        </is>
      </c>
      <c r="D19" s="5" t="inlineStr">
        <is>
          <t>Fédéral</t>
        </is>
      </c>
      <c r="E19" s="5" t="inlineStr">
        <is>
          <t>Subvention</t>
        </is>
      </c>
      <c r="F19" s="6" t="inlineStr">
        <is>
          <t>Admissible</t>
        </is>
      </c>
      <c r="G19" s="7" t="n">
        <v>10000</v>
      </c>
      <c r="H19" s="7" t="n">
        <v>50000</v>
      </c>
      <c r="I19" s="5" t="inlineStr">
        <is>
          <t>50 %</t>
        </is>
      </c>
      <c r="J19" s="5" t="inlineStr">
        <is>
          <t>Ouvert jusqu'au 31 août 2026, 12 h</t>
        </is>
      </c>
      <c r="K19" s="5" t="inlineStr">
        <is>
          <t>Rouvre vers le 4 février 2027 pour l'exercice 2027-28</t>
        </is>
      </c>
      <c r="L19" s="5" t="inlineStr">
        <is>
          <t>FY27 T2</t>
        </is>
      </c>
      <c r="M19" s="5" t="inlineStr">
        <is>
          <t>Moyen</t>
        </is>
      </c>
      <c r="N19" s="8" t="inlineStr">
        <is>
          <t>Enveloppe É.-U. de 3,1 M$ ENTIÈREMENT ALLOUÉE. Cible les marchés où l'entreprise a peu ou pas d'activités. 50 % des coûts, projet de 20 k$ à 100 k$.</t>
        </is>
      </c>
      <c r="O19" s="8" t="inlineStr">
        <is>
          <t>Viser la France, la Belgique et les pays nordiques, où le récit du monarque se transpose. Pas les États-Unis. Bâtir le dossier d'ici février plutôt que d'improviser en 26 jours.</t>
        </is>
      </c>
      <c r="P19" s="9" t="inlineStr">
        <is>
          <t>https://www.deleguescommerciaux.gc.ca/fr/nos-solutions/soutien-financier-expansion-commerciale-international/canexport-pme/nouveau-2026-2027.html</t>
        </is>
      </c>
    </row>
    <row r="20" ht="58" customHeight="1">
      <c r="A20" s="4" t="n">
        <v>16</v>
      </c>
      <c r="B20" s="5" t="inlineStr">
        <is>
          <t>CERI — Expansion des entreprises et productivité</t>
        </is>
      </c>
      <c r="C20" s="5" t="inlineStr">
        <is>
          <t>Développement économique Canada</t>
        </is>
      </c>
      <c r="D20" s="5" t="inlineStr">
        <is>
          <t>Fédéral</t>
        </is>
      </c>
      <c r="E20" s="5" t="inlineStr">
        <is>
          <t>Contribution remboursable à 0 %</t>
        </is>
      </c>
      <c r="F20" s="10" t="inlineStr">
        <is>
          <t>À valider</t>
        </is>
      </c>
      <c r="G20" s="7" t="n">
        <v>25000</v>
      </c>
      <c r="H20" s="7" t="n">
        <v>250000</v>
      </c>
      <c r="I20" s="5" t="inlineStr">
        <is>
          <t>50 %</t>
        </is>
      </c>
      <c r="J20" s="5" t="inlineStr">
        <is>
          <t>Ouvert en continu</t>
        </is>
      </c>
      <c r="K20" s="5" t="inlineStr">
        <is>
          <t>En continu</t>
        </is>
      </c>
      <c r="L20" s="5" t="inlineStr">
        <is>
          <t>FY27 T4</t>
        </is>
      </c>
      <c r="M20" s="5" t="inlineStr">
        <is>
          <t>Élevé</t>
        </is>
      </c>
      <c r="N20" s="8" t="inlineStr">
        <is>
          <t>Aucun seuil de revenus, contrairement à l'IRRT. Secteurs admissibles : manufacturier, transformation alimentaire, TIC, sciences de la vie. Commerce de détail EXPLICITEMENT EXCLU.</t>
        </is>
      </c>
      <c r="O20" s="8" t="inlineStr">
        <is>
          <t>Le dossier doit se présenter comme manufacturier — atelier de Limoilou, transformation de l'isolant, code d'activité — et non comme du commerce en ligne. 0 % d'intérêt, remboursements 2 ans après la fin.</t>
        </is>
      </c>
      <c r="P20" s="9" t="inlineStr">
        <is>
          <t>https://www.canada.ca/fr/developpement-economique-regions-quebec/financement-services/expansion-des-entreprises-et-productivite.html</t>
        </is>
      </c>
    </row>
    <row r="21" ht="58" customHeight="1">
      <c r="A21" s="4" t="n">
        <v>17</v>
      </c>
      <c r="B21" s="5" t="inlineStr">
        <is>
          <t>Capitale-Innovation</t>
        </is>
      </c>
      <c r="C21" s="5" t="inlineStr">
        <is>
          <t>Ville de Québec</t>
        </is>
      </c>
      <c r="D21" s="5" t="inlineStr">
        <is>
          <t>Municipal</t>
        </is>
      </c>
      <c r="E21" s="5" t="inlineStr">
        <is>
          <t>Contribution non remboursable</t>
        </is>
      </c>
      <c r="F21" s="10" t="inlineStr">
        <is>
          <t>À valider</t>
        </is>
      </c>
      <c r="G21" s="7" t="n">
        <v>50000</v>
      </c>
      <c r="H21" s="7" t="n">
        <v>500000</v>
      </c>
      <c r="I21" s="5" t="inlineStr">
        <is>
          <t>50 %, puis 60 % au-delà de 250 k$</t>
        </is>
      </c>
      <c r="J21" s="5" t="inlineStr">
        <is>
          <t>Volet ouvert (page à jour le 8 juillet 2026)</t>
        </is>
      </c>
      <c r="K21" s="5" t="inlineStr">
        <is>
          <t>Enveloppe Vision Québec 2030 possiblement fermée depuis le 31 mars 2026 — à faire trancher</t>
        </is>
      </c>
      <c r="L21" s="5" t="inlineStr">
        <is>
          <t>FY28 T3</t>
        </is>
      </c>
      <c r="M21" s="5" t="inlineStr">
        <is>
          <t>Élevé</t>
        </is>
      </c>
      <c r="N21" s="8" t="inlineStr">
        <is>
          <t>Secteur « Manufacturier, matériaux, transformation industrielle » explicitement admissible. Siège dans l'agglomération de Québec : rempli (1286 av. de la Ronde).</t>
        </is>
      </c>
      <c r="O21" s="8" t="inlineStr">
        <is>
          <t>Le plus gros non remboursable accessible localement. Exige la preuve de détention de la PI. Cumul de toute aide publique plafonné à 70 %.</t>
        </is>
      </c>
      <c r="P21" s="9" t="inlineStr">
        <is>
          <t>https://www.ville.quebec.qc.ca/gens_affaires/financement/innovation/capitale-innovation.aspx</t>
        </is>
      </c>
    </row>
    <row r="22" ht="58" customHeight="1">
      <c r="A22" s="4" t="n">
        <v>18</v>
      </c>
      <c r="B22" s="5" t="inlineStr">
        <is>
          <t>Programme Innovation — Volet 1</t>
        </is>
      </c>
      <c r="C22" s="5" t="inlineStr">
        <is>
          <t>MEIE</t>
        </is>
      </c>
      <c r="D22" s="5" t="inlineStr">
        <is>
          <t>Québec</t>
        </is>
      </c>
      <c r="E22" s="5" t="inlineStr">
        <is>
          <t>Subvention</t>
        </is>
      </c>
      <c r="F22" s="11" t="inlineStr">
        <is>
          <t>Reporté</t>
        </is>
      </c>
      <c r="G22" s="7" t="n">
        <v>50000</v>
      </c>
      <c r="H22" s="7" t="n">
        <v>500000</v>
      </c>
      <c r="I22" s="5" t="inlineStr">
        <is>
          <t>25 % en argent</t>
        </is>
      </c>
      <c r="J22" s="5" t="inlineStr">
        <is>
          <t>N'accepte pas les demandes</t>
        </is>
      </c>
      <c r="K22" s="5" t="inlineStr">
        <is>
          <t>Surveiller la réouverture</t>
        </is>
      </c>
      <c r="L22" s="5" t="inlineStr">
        <is>
          <t>FY28</t>
        </is>
      </c>
      <c r="M22" s="5" t="inlineStr">
        <is>
          <t>Élevé</t>
        </is>
      </c>
      <c r="N22" s="8" t="inlineStr">
        <is>
          <t>Jusqu'à 500 000 $ par entreprise. Contribution privée EN ARGENT d'au moins 25 % des dépenses admissibles.</t>
        </is>
      </c>
      <c r="O22" s="8" t="inlineStr">
        <is>
          <t>ABSENT du répertoire Innoveici : c'est un angle mort du premier tri. Pendant provincial de Capitale-Innovation, à surveiller activement.</t>
        </is>
      </c>
      <c r="P22" s="9" t="inlineStr">
        <is>
          <t>https://www.economie.gouv.qc.ca/bibliotheques/programmes/aide-financiere/programme-innovation</t>
        </is>
      </c>
    </row>
    <row r="23" ht="58" customHeight="1">
      <c r="A23" s="4" t="n">
        <v>19</v>
      </c>
      <c r="B23" s="5" t="inlineStr">
        <is>
          <t>ESSOR — Volet 1 (études préalables)</t>
        </is>
      </c>
      <c r="C23" s="5" t="inlineStr">
        <is>
          <t>Investissement Québec</t>
        </is>
      </c>
      <c r="D23" s="5" t="inlineStr">
        <is>
          <t>Québec</t>
        </is>
      </c>
      <c r="E23" s="5" t="inlineStr">
        <is>
          <t>Subvention</t>
        </is>
      </c>
      <c r="F23" s="6" t="inlineStr">
        <is>
          <t>Admissible</t>
        </is>
      </c>
      <c r="G23" s="7" t="n">
        <v>5000</v>
      </c>
      <c r="H23" s="7" t="n">
        <v>50000</v>
      </c>
      <c r="I23" s="5" t="inlineStr">
        <is>
          <t>Variable</t>
        </is>
      </c>
      <c r="J23" s="5" t="inlineStr">
        <is>
          <t>Ouvert en continu</t>
        </is>
      </c>
      <c r="K23" s="5" t="inlineStr">
        <is>
          <t>Dépôt en continu</t>
        </is>
      </c>
      <c r="L23" s="5" t="inlineStr">
        <is>
          <t>FY28 T3</t>
        </is>
      </c>
      <c r="M23" s="5" t="inlineStr">
        <is>
          <t>Moyen</t>
        </is>
      </c>
      <c r="N23" s="8" t="inlineStr">
        <is>
          <t>Études de faisabilité, diagnostic numérique, plan numérique. Entreprises de tous secteurs.</t>
        </is>
      </c>
      <c r="O23" s="8" t="inlineStr">
        <is>
          <t>Porte d'entrée à faible risque avant tout projet d'équipement financé par ESSOR volet 2.</t>
        </is>
      </c>
      <c r="P23" s="9" t="inlineStr">
        <is>
          <t>https://www.investquebec.com/fr/financement/programmes-gouvernementaux/essor/appui-la-concretisation-de-projets-dinvestissement</t>
        </is>
      </c>
    </row>
    <row r="24" ht="58" customHeight="1">
      <c r="A24" s="4" t="n">
        <v>20</v>
      </c>
      <c r="B24" s="5" t="inlineStr">
        <is>
          <t>Bons d'accompagnement à la croissance</t>
        </is>
      </c>
      <c r="C24" s="5" t="inlineStr">
        <is>
          <t>Ville de Québec</t>
        </is>
      </c>
      <c r="D24" s="5" t="inlineStr">
        <is>
          <t>Municipal</t>
        </is>
      </c>
      <c r="E24" s="5" t="inlineStr">
        <is>
          <t>Contribution</t>
        </is>
      </c>
      <c r="F24" s="10" t="inlineStr">
        <is>
          <t>À valider</t>
        </is>
      </c>
      <c r="G24" s="7" t="n">
        <v>5000</v>
      </c>
      <c r="H24" s="7" t="n">
        <v>20000</v>
      </c>
      <c r="I24" s="5" t="inlineStr">
        <is>
          <t>Variable</t>
        </is>
      </c>
      <c r="J24" s="5" t="inlineStr">
        <is>
          <t>Ouvert, dépôt en continu</t>
        </is>
      </c>
      <c r="K24" s="5" t="inlineStr">
        <is>
          <t>Aucune date de tombée</t>
        </is>
      </c>
      <c r="L24" s="5" t="inlineStr">
        <is>
          <t>FY27 T4</t>
        </is>
      </c>
      <c r="M24" s="5" t="inlineStr">
        <is>
          <t>Faible</t>
        </is>
      </c>
      <c r="N24" s="8" t="inlineStr">
        <is>
          <t>Exclut explicitement les commerces opérant UNIQUEMENT en ligne.</t>
        </is>
      </c>
      <c r="O24" s="8" t="inlineStr">
        <is>
          <t>L'atelier de Limoilou et la transformation de l'isolant sortent Lasclay de l'exclusion, mais il faut l'énoncer clairement dans la demande.</t>
        </is>
      </c>
      <c r="P24" s="9" t="inlineStr">
        <is>
          <t>https://www.ville.quebec.qc.ca/gens_affaires/financement/productivite/bons-accompagnement.aspx</t>
        </is>
      </c>
    </row>
    <row r="25" ht="58" customHeight="1">
      <c r="A25" s="4" t="n">
        <v>21</v>
      </c>
      <c r="B25" s="5" t="inlineStr">
        <is>
          <t>Prêts aux entreprises</t>
        </is>
      </c>
      <c r="C25" s="5" t="inlineStr">
        <is>
          <t>Ville de Québec</t>
        </is>
      </c>
      <c r="D25" s="5" t="inlineStr">
        <is>
          <t>Municipal</t>
        </is>
      </c>
      <c r="E25" s="5" t="inlineStr">
        <is>
          <t>Prêt</t>
        </is>
      </c>
      <c r="F25" s="10" t="inlineStr">
        <is>
          <t>À valider</t>
        </is>
      </c>
      <c r="G25" s="7" t="n">
        <v>25000</v>
      </c>
      <c r="H25" s="7" t="n">
        <v>150000</v>
      </c>
      <c r="I25" s="5" t="inlineStr">
        <is>
          <t>Capacité de crédit</t>
        </is>
      </c>
      <c r="J25" s="5" t="inlineStr">
        <is>
          <t>Ouvert</t>
        </is>
      </c>
      <c r="K25" s="5" t="inlineStr">
        <is>
          <t>En continu</t>
        </is>
      </c>
      <c r="L25" s="5" t="inlineStr">
        <is>
          <t>FY28 T1</t>
        </is>
      </c>
      <c r="M25" s="5" t="inlineStr">
        <is>
          <t>Moyen</t>
        </is>
      </c>
      <c r="N25" s="8" t="inlineStr">
        <is>
          <t>Quatre volets : démarrage, amélioration et transformation, croissance et expansion, relève.</t>
        </is>
      </c>
      <c r="O25" s="8" t="inlineStr">
        <is>
          <t>Le volet « amélioration et transformation » colle au virage manufacturier. La capacité de crédit reste à démontrer avec un avoir négatif.</t>
        </is>
      </c>
      <c r="P25" s="9" t="inlineStr">
        <is>
          <t>https://www.ville.quebec.qc.ca/gens_affaires/financement/autres/prets-aux-entreprises/index.aspx</t>
        </is>
      </c>
    </row>
    <row r="26" ht="58" customHeight="1">
      <c r="A26" s="4" t="n">
        <v>22</v>
      </c>
      <c r="B26" s="5" t="inlineStr">
        <is>
          <t>Primo-adoptants</t>
        </is>
      </c>
      <c r="C26" s="5" t="inlineStr">
        <is>
          <t>MEIE</t>
        </is>
      </c>
      <c r="D26" s="5" t="inlineStr">
        <is>
          <t>Québec</t>
        </is>
      </c>
      <c r="E26" s="5" t="inlineStr">
        <is>
          <t>Subvention (versée au partenaire)</t>
        </is>
      </c>
      <c r="F26" s="6" t="inlineStr">
        <is>
          <t>Admissible</t>
        </is>
      </c>
      <c r="G26" s="7" t="n">
        <v>0</v>
      </c>
      <c r="H26" s="7" t="n">
        <v>0</v>
      </c>
      <c r="I26" s="5" t="inlineStr">
        <is>
          <t>20 % en espèces</t>
        </is>
      </c>
      <c r="J26" s="5" t="inlineStr">
        <is>
          <t>Appel de projets</t>
        </is>
      </c>
      <c r="K26" s="5" t="inlineStr">
        <is>
          <t>Surveiller les appels</t>
        </is>
      </c>
      <c r="L26" s="5" t="inlineStr">
        <is>
          <t>FY28 T3</t>
        </is>
      </c>
      <c r="M26" s="5" t="inlineStr">
        <is>
          <t>Moyen</t>
        </is>
      </c>
      <c r="N26" s="8" t="inlineStr">
        <is>
          <t>Lasclay serait le primo-adoptant, pas le bénéficiaire. La contribution du gouvernement va à la startup ; le primo-adoptant met 20 % en espèces.</t>
        </is>
      </c>
      <c r="O26" s="8" t="inlineStr">
        <is>
          <t>Manière peu coûteuse de faire tester sur la fibre des équipements d'automatisation ou de vision par ordinateur pour le contrôle qualité.</t>
        </is>
      </c>
      <c r="P26" s="9" t="inlineStr">
        <is>
          <t>https://www.quebec.ca/entreprises-et-travailleurs-autonomes/liste-partielle-aide-financiere/appels-projets-innovation/appel-primo-adoptants</t>
        </is>
      </c>
    </row>
    <row r="27" ht="58" customHeight="1">
      <c r="A27" s="4" t="n">
        <v>23</v>
      </c>
      <c r="B27" s="5" t="inlineStr">
        <is>
          <t>Accès aux talents</t>
        </is>
      </c>
      <c r="C27" s="5" t="inlineStr">
        <is>
          <t>Produits naturels Canada</t>
        </is>
      </c>
      <c r="D27" s="5" t="inlineStr">
        <is>
          <t>Fédéral</t>
        </is>
      </c>
      <c r="E27" s="5" t="inlineStr">
        <is>
          <t>Subvention</t>
        </is>
      </c>
      <c r="F27" s="10" t="inlineStr">
        <is>
          <t>À valider</t>
        </is>
      </c>
      <c r="G27" s="7" t="n">
        <v>20000</v>
      </c>
      <c r="H27" s="7" t="n">
        <v>75000</v>
      </c>
      <c r="I27" s="5" t="inlineStr">
        <is>
          <t>60 % du salaire</t>
        </is>
      </c>
      <c r="J27" s="5" t="inlineStr">
        <is>
          <t>Ouvert en continu</t>
        </is>
      </c>
      <c r="K27" s="5" t="inlineStr">
        <is>
          <t>Demande à tout moment</t>
        </is>
      </c>
      <c r="L27" s="5" t="inlineStr">
        <is>
          <t>FY28 T1</t>
        </is>
      </c>
      <c r="M27" s="5" t="inlineStr">
        <is>
          <t>Moyen</t>
        </is>
      </c>
      <c r="N27" s="8" t="inlineStr">
        <is>
          <t>40 % du salaire d'un nouvel employé, maximum 75 000 $. Exige d'être membre de la grappe de l'innovation en produits naturels.</t>
        </is>
      </c>
      <c r="O27" s="8" t="inlineStr">
        <is>
          <t>La définition de PNC — bioproduits et durabilité — couvre l'asclépiade. La collaboration cosmétique autour de l'huile de graine est le candidat naturel.</t>
        </is>
      </c>
      <c r="P27" s="9" t="inlineStr">
        <is>
          <t>https://www.naturalproductscanada.com/fr/programmes/programme-daccess-aux-talents/</t>
        </is>
      </c>
    </row>
    <row r="28" ht="58" customHeight="1">
      <c r="A28" s="4" t="n">
        <v>24</v>
      </c>
      <c r="B28" s="5" t="inlineStr">
        <is>
          <t>Contrat d'intégration au travail</t>
        </is>
      </c>
      <c r="C28" s="5" t="inlineStr">
        <is>
          <t>Services Québec</t>
        </is>
      </c>
      <c r="D28" s="5" t="inlineStr">
        <is>
          <t>Québec</t>
        </is>
      </c>
      <c r="E28" s="5" t="inlineStr">
        <is>
          <t>Subvention salariale</t>
        </is>
      </c>
      <c r="F28" s="6" t="inlineStr">
        <is>
          <t>Admissible</t>
        </is>
      </c>
      <c r="G28" s="7" t="n">
        <v>3000</v>
      </c>
      <c r="H28" s="7" t="n">
        <v>20000</v>
      </c>
      <c r="I28" s="5" t="inlineStr">
        <is>
          <t>Part du salaire</t>
        </is>
      </c>
      <c r="J28" s="5" t="inlineStr">
        <is>
          <t>Ouvert en continu</t>
        </is>
      </c>
      <c r="K28" s="5" t="inlineStr">
        <is>
          <t>En continu</t>
        </is>
      </c>
      <c r="L28" s="5" t="inlineStr">
        <is>
          <t>FY28</t>
        </is>
      </c>
      <c r="M28" s="5" t="inlineStr">
        <is>
          <t>Faible</t>
        </is>
      </c>
      <c r="N28" s="8" t="inlineStr">
        <is>
          <t>Soutien au salaire pour compenser un écart de productivité, plus couverture de l'adaptation du poste.</t>
        </is>
      </c>
      <c r="O28" s="8" t="inlineStr">
        <is>
          <t>Pertinent pour l'assemblage, l'emballage de semences et l'expédition, où les tâches se découpent bien.</t>
        </is>
      </c>
      <c r="P28" s="9" t="inlineStr">
        <is>
          <t>https://www.quebec.ca/entreprises-et-travailleurs-autonomes/administrer-gerer/embauche-gestion-personnel/recruter/contrat-integration-travail</t>
        </is>
      </c>
    </row>
    <row r="29" ht="58" customHeight="1">
      <c r="A29" s="4" t="n">
        <v>25</v>
      </c>
      <c r="B29" s="5" t="inlineStr">
        <is>
          <t>Pratiques RH (FCCQ) et RH éclair! (FCEI)</t>
        </is>
      </c>
      <c r="C29" s="5" t="inlineStr">
        <is>
          <t>FCCQ / FCEI</t>
        </is>
      </c>
      <c r="D29" s="5" t="inlineStr">
        <is>
          <t>Québec et fédéral</t>
        </is>
      </c>
      <c r="E29" s="5" t="inlineStr">
        <is>
          <t>Service gratuit</t>
        </is>
      </c>
      <c r="F29" s="6" t="inlineStr">
        <is>
          <t>Admissible</t>
        </is>
      </c>
      <c r="G29" s="7" t="n">
        <v>0</v>
      </c>
      <c r="H29" s="7" t="n">
        <v>0</v>
      </c>
      <c r="I29" s="5" t="inlineStr">
        <is>
          <t>Aucune</t>
        </is>
      </c>
      <c r="J29" s="5" t="inlineStr">
        <is>
          <t>Ouvert</t>
        </is>
      </c>
      <c r="K29" s="5" t="inlineStr">
        <is>
          <t>En continu</t>
        </is>
      </c>
      <c r="L29" s="5" t="inlineStr">
        <is>
          <t>FY27 T1</t>
        </is>
      </c>
      <c r="M29" s="5" t="inlineStr">
        <is>
          <t>Faible</t>
        </is>
      </c>
      <c r="N29" s="8" t="inlineStr">
        <is>
          <t>Accès gratuit à des conseils RH et juridiques, à une bibliothèque de modèles et de politiques.</t>
        </is>
      </c>
      <c r="O29" s="8" t="inlineStr">
        <is>
          <t>Zéro dollar en jeu, mais utile pour sécuriser les contrats et les politiques après une réduction d'effectifs.</t>
        </is>
      </c>
      <c r="P29" s="9" t="inlineStr">
        <is>
          <t>https://pratiquesrh.com/</t>
        </is>
      </c>
    </row>
    <row r="30" ht="58" customHeight="1">
      <c r="A30" s="4" t="n">
        <v>26</v>
      </c>
      <c r="B30" s="5" t="inlineStr">
        <is>
          <t>ICI on recycle +</t>
        </is>
      </c>
      <c r="C30" s="5" t="inlineStr">
        <is>
          <t>Recyc-Québec</t>
        </is>
      </c>
      <c r="D30" s="5" t="inlineStr">
        <is>
          <t>Québec</t>
        </is>
      </c>
      <c r="E30" s="5" t="inlineStr">
        <is>
          <t>Attestation (clé d'accès)</t>
        </is>
      </c>
      <c r="F30" s="6" t="inlineStr">
        <is>
          <t>Admissible</t>
        </is>
      </c>
      <c r="G30" s="7" t="n">
        <v>-350</v>
      </c>
      <c r="H30" s="7" t="n">
        <v>0</v>
      </c>
      <c r="I30" s="5" t="inlineStr">
        <is>
          <t>350 $ de frais d'inscription</t>
        </is>
      </c>
      <c r="J30" s="5" t="inlineStr">
        <is>
          <t>Ouvert</t>
        </is>
      </c>
      <c r="K30" s="5" t="inlineStr">
        <is>
          <t>En continu</t>
        </is>
      </c>
      <c r="L30" s="5" t="inlineStr">
        <is>
          <t>FY28</t>
        </is>
      </c>
      <c r="M30" s="5" t="inlineStr">
        <is>
          <t>Faible</t>
        </is>
      </c>
      <c r="N30" s="8" t="inlineStr">
        <is>
          <t>N'octroie pas d'aide. Écocondition OBLIGATOIRE, au niveau « Mise en œuvre », pour le versement final de plusieurs aides de Recyc-Québec.</t>
        </is>
      </c>
      <c r="O30" s="8" t="inlineStr">
        <is>
          <t>C'est une clé, pas une source. Environ 350 $ pour déverrouiller les enveloppes de Recyc-Québec et crédibiliser les appels d'offres corporatifs.</t>
        </is>
      </c>
      <c r="P30" s="9" t="inlineStr">
        <is>
          <t>https://www.recyc-quebec.gouv.qc.ca/entreprises-organismes/performer/programme-ici-on-recycle-plus/</t>
        </is>
      </c>
    </row>
    <row r="31" ht="58" customHeight="1">
      <c r="A31" s="4" t="n">
        <v>27</v>
      </c>
      <c r="B31" s="5" t="inlineStr">
        <is>
          <t>Validation de principe</t>
        </is>
      </c>
      <c r="C31" s="5" t="inlineStr">
        <is>
          <t>Produits naturels Canada</t>
        </is>
      </c>
      <c r="D31" s="5" t="inlineStr">
        <is>
          <t>Fédéral</t>
        </is>
      </c>
      <c r="E31" s="5" t="inlineStr">
        <is>
          <t>Financement remboursable</t>
        </is>
      </c>
      <c r="F31" s="10" t="inlineStr">
        <is>
          <t>À valider</t>
        </is>
      </c>
      <c r="G31" s="7" t="n">
        <v>50000</v>
      </c>
      <c r="H31" s="7" t="n">
        <v>250000</v>
      </c>
      <c r="I31" s="5" t="inlineStr">
        <is>
          <t>60 %</t>
        </is>
      </c>
      <c r="J31" s="5" t="inlineStr">
        <is>
          <t>Ouvert en continu</t>
        </is>
      </c>
      <c r="K31" s="5" t="inlineStr">
        <is>
          <t>Demande à tout moment</t>
        </is>
      </c>
      <c r="L31" s="5" t="inlineStr">
        <is>
          <t>FY28 T4</t>
        </is>
      </c>
      <c r="M31" s="5" t="inlineStr">
        <is>
          <t>Élevé</t>
        </is>
      </c>
      <c r="N31" s="8" t="inlineStr">
        <is>
          <t>40 % des coûts, maximum 250 000 $. PNC cherche un potentiel de 10 à 15 M$ de revenus annuels — un cran au-dessus de la trajectoire de Lasclay.</t>
        </is>
      </c>
      <c r="O31" s="8" t="inlineStr">
        <is>
          <t>Réserve sérieuse sur le critère de potentiel de revenus. À tenter seulement si le volet cosmétique prend de l'ampleur.</t>
        </is>
      </c>
      <c r="P31" s="9" t="inlineStr">
        <is>
          <t>https://www.naturalproductscanada.com/fr/programmes/programme-validation-de-principe/</t>
        </is>
      </c>
    </row>
    <row r="32" ht="58" customHeight="1">
      <c r="A32" s="4" t="n">
        <v>28</v>
      </c>
      <c r="B32" s="5" t="inlineStr">
        <is>
          <t>Panorama</t>
        </is>
      </c>
      <c r="C32" s="5" t="inlineStr">
        <is>
          <t>Investissement Québec</t>
        </is>
      </c>
      <c r="D32" s="5" t="inlineStr">
        <is>
          <t>Québec</t>
        </is>
      </c>
      <c r="E32" s="5" t="inlineStr">
        <is>
          <t>Prêt</t>
        </is>
      </c>
      <c r="F32" s="11" t="inlineStr">
        <is>
          <t>Reporté</t>
        </is>
      </c>
      <c r="G32" s="7" t="n">
        <v>250000</v>
      </c>
      <c r="H32" s="7" t="n">
        <v>1000000</v>
      </c>
      <c r="I32" s="5" t="inlineStr">
        <is>
          <t>Capacité de crédit</t>
        </is>
      </c>
      <c r="J32" s="5" t="inlineStr">
        <is>
          <t>Ouvert</t>
        </is>
      </c>
      <c r="K32" s="5" t="inlineStr">
        <is>
          <t>Après retour à la rentabilité</t>
        </is>
      </c>
      <c r="L32" s="5" t="inlineStr">
        <is>
          <t>FY28</t>
        </is>
      </c>
      <c r="M32" s="5" t="inlineStr">
        <is>
          <t>Élevé</t>
        </is>
      </c>
      <c r="N32" s="8" t="inlineStr">
        <is>
          <t>Prêt de fonds de roulement export, moratoire de capital de 24 mois, SANS sûreté ni caution corporative ou personnelle. EXCLUT les États-Unis.</t>
        </is>
      </c>
      <c r="O32" s="8" t="inlineStr">
        <is>
          <t>Structure rare et attrayante, mais hors de portée avec un avoir de -254 035 $ et 584 320 $ de dette portant intérêt.</t>
        </is>
      </c>
      <c r="P32" s="9" t="inlineStr">
        <is>
          <t>https://exportation.investquebec.com/solutions</t>
        </is>
      </c>
    </row>
    <row r="33" ht="58" customHeight="1">
      <c r="A33" s="4" t="n">
        <v>29</v>
      </c>
      <c r="B33" s="5" t="inlineStr">
        <is>
          <t>ESSOR — Volet 2 (productivité et expansion)</t>
        </is>
      </c>
      <c r="C33" s="5" t="inlineStr">
        <is>
          <t>Investissement Québec</t>
        </is>
      </c>
      <c r="D33" s="5" t="inlineStr">
        <is>
          <t>Québec</t>
        </is>
      </c>
      <c r="E33" s="5" t="inlineStr">
        <is>
          <t>Contribution remboursable ou garantie</t>
        </is>
      </c>
      <c r="F33" s="11" t="inlineStr">
        <is>
          <t>Reporté</t>
        </is>
      </c>
      <c r="G33" s="7" t="n">
        <v>50000</v>
      </c>
      <c r="H33" s="7" t="n">
        <v>500000</v>
      </c>
      <c r="I33" s="5" t="inlineStr">
        <is>
          <t>Capacité de crédit</t>
        </is>
      </c>
      <c r="J33" s="5" t="inlineStr">
        <is>
          <t>Ouvert en continu</t>
        </is>
      </c>
      <c r="K33" s="5" t="inlineStr">
        <is>
          <t>Après un exercice FY2027 positif</t>
        </is>
      </c>
      <c r="L33" s="5" t="inlineStr">
        <is>
          <t>FY28 T1</t>
        </is>
      </c>
      <c r="M33" s="5" t="inlineStr">
        <is>
          <t>Élevé</t>
        </is>
      </c>
      <c r="N33" s="8" t="inlineStr">
        <is>
          <t>Exige de démontrer un potentiel de hausse de rentabilité ou de masse salariale. Honoraires de gestion d'au moins 0,5 % du montant accordé.</t>
        </is>
      </c>
      <c r="O33" s="8" t="inlineStr">
        <is>
          <t>Le raisonnement reste juste, il est prématuré d'un ou deux exercices. Rouvrir le dossier sur des états financiers montrant un redressement.</t>
        </is>
      </c>
      <c r="P33" s="9" t="inlineStr">
        <is>
          <t>https://www.investquebec.com/fr/financement/programmes-gouvernementaux/essor/essor-volet-2</t>
        </is>
      </c>
    </row>
    <row r="34" ht="58" customHeight="1">
      <c r="A34" s="4" t="n">
        <v>30</v>
      </c>
      <c r="B34" s="5" t="inlineStr">
        <is>
          <t>grand V — financement</t>
        </is>
      </c>
      <c r="C34" s="5" t="inlineStr">
        <is>
          <t>Investissement Québec</t>
        </is>
      </c>
      <c r="D34" s="5" t="inlineStr">
        <is>
          <t>Québec</t>
        </is>
      </c>
      <c r="E34" s="5" t="inlineStr">
        <is>
          <t>Prêt à terme</t>
        </is>
      </c>
      <c r="F34" s="11" t="inlineStr">
        <is>
          <t>Reporté</t>
        </is>
      </c>
      <c r="G34" s="7" t="n">
        <v>250000</v>
      </c>
      <c r="H34" s="7" t="n">
        <v>1000000</v>
      </c>
      <c r="I34" s="5" t="inlineStr">
        <is>
          <t>Capacité de crédit</t>
        </is>
      </c>
      <c r="J34" s="5" t="inlineStr">
        <is>
          <t>Ouvert en continu</t>
        </is>
      </c>
      <c r="K34" s="5" t="inlineStr">
        <is>
          <t>Après un exercice FY2027 positif</t>
        </is>
      </c>
      <c r="L34" s="5" t="inlineStr">
        <is>
          <t>FY28 T1</t>
        </is>
      </c>
      <c r="M34" s="5" t="inlineStr">
        <is>
          <t>Élevé</t>
        </is>
      </c>
      <c r="N34" s="8" t="inlineStr">
        <is>
          <t>Prêt MINIMUM de 250 000 $, moratoire de capital jusqu'à 48 mois. Devant -254 035 $ de capitaux propres et 584 320 $ de dette, l'analyse de crédit bloque.</t>
        </is>
      </c>
      <c r="O34" s="8" t="inlineStr">
        <is>
          <t>C'était le levier identifié pour remplacer Merchant Growth et Shopify Capital. Il reste le bon levier, mais pas avant un redressement.</t>
        </is>
      </c>
      <c r="P34" s="9" t="inlineStr">
        <is>
          <t>https://grandv.investquebec.com/</t>
        </is>
      </c>
    </row>
    <row r="35" ht="58" customHeight="1">
      <c r="A35" s="4" t="n">
        <v>31</v>
      </c>
      <c r="B35" s="5" t="inlineStr">
        <is>
          <t>ESSOR — Volet 4 (internationalisation)</t>
        </is>
      </c>
      <c r="C35" s="5" t="inlineStr">
        <is>
          <t>Investissement Québec</t>
        </is>
      </c>
      <c r="D35" s="5" t="inlineStr">
        <is>
          <t>Québec</t>
        </is>
      </c>
      <c r="E35" s="5" t="inlineStr">
        <is>
          <t>Prêt ou garantie</t>
        </is>
      </c>
      <c r="F35" s="11" t="inlineStr">
        <is>
          <t>Reporté</t>
        </is>
      </c>
      <c r="G35" s="7" t="n">
        <v>50000</v>
      </c>
      <c r="H35" s="7" t="n">
        <v>500000</v>
      </c>
      <c r="I35" s="5" t="inlineStr">
        <is>
          <t>Capacité de crédit</t>
        </is>
      </c>
      <c r="J35" s="5" t="inlineStr">
        <is>
          <t>Ouvert</t>
        </is>
      </c>
      <c r="K35" s="5" t="inlineStr">
        <is>
          <t>Si le développement É.-U. passe par de la distribution locale</t>
        </is>
      </c>
      <c r="L35" s="5" t="inlineStr">
        <is>
          <t>FY28 T4</t>
        </is>
      </c>
      <c r="M35" s="5" t="inlineStr">
        <is>
          <t>Élevé</t>
        </is>
      </c>
      <c r="N35" s="8" t="inlineStr">
        <is>
          <t>Vise les stratégies d'internationalisation complexes : entités, entrepôts, chaînes d'approvisionnement à l'étranger.</t>
        </is>
      </c>
      <c r="O35" s="8" t="inlineStr">
        <is>
          <t>Ne se justifie pas tant que les États-Unis sont servis par expédition directe depuis Québec.</t>
        </is>
      </c>
      <c r="P35" s="9" t="inlineStr">
        <is>
          <t>https://www.investquebec.com/fr/financement/programmes-gouvernementaux/essor/appui-linternationalisation-des-entreprises</t>
        </is>
      </c>
    </row>
    <row r="36" ht="58" customHeight="1">
      <c r="A36" s="4" t="n">
        <v>32</v>
      </c>
      <c r="B36" s="5" t="inlineStr">
        <is>
          <t>Fonds économie circulaire</t>
        </is>
      </c>
      <c r="C36" s="5" t="inlineStr">
        <is>
          <t>Fondaction</t>
        </is>
      </c>
      <c r="D36" s="5" t="inlineStr">
        <is>
          <t>Québec</t>
        </is>
      </c>
      <c r="E36" s="5" t="inlineStr">
        <is>
          <t>Capital (dilution)</t>
        </is>
      </c>
      <c r="F36" s="10" t="inlineStr">
        <is>
          <t>À valider</t>
        </is>
      </c>
      <c r="G36" s="7" t="n">
        <v>100000</v>
      </c>
      <c r="H36" s="7" t="n">
        <v>500000</v>
      </c>
      <c r="I36" s="5" t="inlineStr">
        <is>
          <t>Dilution du capital</t>
        </is>
      </c>
      <c r="J36" s="5" t="inlineStr">
        <is>
          <t>Ouvert</t>
        </is>
      </c>
      <c r="K36" s="5" t="inlineStr">
        <is>
          <t>En continu</t>
        </is>
      </c>
      <c r="L36" s="5" t="inlineStr">
        <is>
          <t>FY28</t>
        </is>
      </c>
      <c r="M36" s="5" t="inlineStr">
        <is>
          <t>Élevé</t>
        </is>
      </c>
      <c r="N36" s="8" t="inlineStr">
        <is>
          <t>Cible les jeunes entreprises en phase de démarrage dont le modèle repose sur la circularité. C'est du capital, pas de la subvention.</t>
        </is>
      </c>
      <c r="O36" s="8" t="inlineStr">
        <is>
          <t>Les semences issues de la transformation de la soie et la gamme « Les Imparfaits » sont de la circularité réelle. À ne considérer que si l'ouverture du capital devient une option assumée.</t>
        </is>
      </c>
      <c r="P36" s="9" t="inlineStr">
        <is>
          <t>https://www.fondaction.com/entreprise/fonds-economie-circulaire/</t>
        </is>
      </c>
    </row>
    <row r="37" ht="58" customHeight="1">
      <c r="A37" s="4" t="n">
        <v>33</v>
      </c>
      <c r="B37" s="5" t="inlineStr">
        <is>
          <t>Programme canadien de l'innovation à l'international</t>
        </is>
      </c>
      <c r="C37" s="5" t="inlineStr">
        <is>
          <t>Affaires mondiales Canada</t>
        </is>
      </c>
      <c r="D37" s="5" t="inlineStr">
        <is>
          <t>Fédéral</t>
        </is>
      </c>
      <c r="E37" s="5" t="inlineStr">
        <is>
          <t>Subvention</t>
        </is>
      </c>
      <c r="F37" s="10" t="inlineStr">
        <is>
          <t>À valider</t>
        </is>
      </c>
      <c r="G37" s="7" t="n">
        <v>15000</v>
      </c>
      <c r="H37" s="7" t="n">
        <v>600000</v>
      </c>
      <c r="I37" s="5" t="inlineStr">
        <is>
          <t>50 %</t>
        </is>
      </c>
      <c r="J37" s="5" t="inlineStr">
        <is>
          <t>Dépôt ad hoc</t>
        </is>
      </c>
      <c r="K37" s="5" t="inlineStr">
        <is>
          <t>Ad hoc</t>
        </is>
      </c>
      <c r="L37" s="5" t="inlineStr">
        <is>
          <t>FY28</t>
        </is>
      </c>
      <c r="M37" s="5" t="inlineStr">
        <is>
          <t>Élevé</t>
        </is>
      </c>
      <c r="N37" s="8" t="inlineStr">
        <is>
          <t>Exige un partenaire de R-D au Brésil, en Chine, en Inde, en Israël ou en Corée du Sud.</t>
        </is>
      </c>
      <c r="O37" s="8" t="inlineStr">
        <is>
          <t>La liste de pays ne recoupe pas la chaîne d'approvisionnement actuelle, qui passe par la Tunisie. À garder en veille seulement.</t>
        </is>
      </c>
      <c r="P37" s="9" t="inlineStr">
        <is>
          <t>https://www.deleguescommerciaux.gc.ca/fr/nos-solutions/programmes-soutien/programme-canadien-innovation-international.html</t>
        </is>
      </c>
    </row>
    <row r="39">
      <c r="B39" s="12" t="inlineStr">
        <is>
          <t>Potentiel total, verdict « Admissible » seulement</t>
        </is>
      </c>
      <c r="G39" s="13">
        <f>SUMIF($F$5:$F$37,"Admissible",G5:G37)</f>
        <v>121550</v>
      </c>
      <c r="H39" s="13">
        <f>SUMIF($F$5:$F$37,"Admissible",H5:H37)</f>
        <v>465200</v>
      </c>
    </row>
    <row r="40">
      <c r="B40" s="12" t="inlineStr">
        <is>
          <t>Potentiel total, « Admissible » + « À valider »</t>
        </is>
      </c>
      <c r="G40" s="13">
        <f>SUMIF($F$5:$F$37,"Admissible",G5:G37)+SUMIF($F$5:$F$37,"À valider",G5:G37)</f>
        <v>421550</v>
      </c>
      <c r="H40" s="13">
        <f>SUMIF($F$5:$F$37,"Admissible",H5:H37)+SUMIF($F$5:$F$37,"À valider",H5:H37)</f>
        <v>2875200</v>
      </c>
    </row>
    <row r="41">
      <c r="B41" s="12" t="inlineStr">
        <is>
          <t>Dont admissible SANS aucune mise de fonds</t>
        </is>
      </c>
      <c r="G41" s="13">
        <f>SUMIFS(G5:G37,$F$5:$F$37,"Admissible",$I$5:$I$37,"Aucune")</f>
        <v>46400</v>
      </c>
      <c r="H41" s="13">
        <f>SUMIFS(H5:H37,$F$5:$F$37,"Admissible",$I$5:$I$37,"Aucune")</f>
        <v>74200</v>
      </c>
    </row>
    <row r="43">
      <c r="B43" s="14" t="inlineStr">
        <is>
          <t>Notes de lecture</t>
        </is>
      </c>
    </row>
    <row r="44" ht="26" customHeight="1">
      <c r="B44" s="15" t="inlineStr">
        <is>
          <t>• Montants min et max : fourchettes réalistes pour un dossier Lasclay, pas les plafonds théoriques des programmes. Ils servent à prioriser, pas à budgéter.</t>
        </is>
      </c>
    </row>
    <row r="45" ht="26" customHeight="1">
      <c r="B45" s="15" t="inlineStr">
        <is>
          <t>• Verdicts : « Admissible » = tous les critères publiés sont rencontrés. « À valider » = un critère dépend d'un arbitrage, d'un cadrage ou d'une confirmation de l'organisme. « Reporté » = admissible sur papier, hors de portée financièrement aujourd'hui.</t>
        </is>
      </c>
    </row>
    <row r="46" ht="26" customHeight="1">
      <c r="B46" s="15" t="inlineStr">
        <is>
          <t>• La contrainte dominante n'est pas l'admissibilité, c'est la mise de fonds : trésorerie de -2 060 $ et marge EDC utilisée à 94,8 %. D'où la priorité donnée aux crédits d'impôt et aux subventions salariales, qui remboursent des dépenses déjà engagées.</t>
        </is>
      </c>
    </row>
    <row r="47" ht="26" customHeight="1">
      <c r="B47" s="15" t="inlineStr">
        <is>
          <t>• Sources vérifiées le 5 août 2026 aux sites officiels des organismes. Les statuts de programme changent sans préavis : revalider avant tout dépôt.</t>
        </is>
      </c>
    </row>
  </sheetData>
  <autoFilter ref="A4:P37"/>
  <mergeCells count="6">
    <mergeCell ref="A1:P1"/>
    <mergeCell ref="B44:H44"/>
    <mergeCell ref="A2:P2"/>
    <mergeCell ref="B47:H47"/>
    <mergeCell ref="B45:H45"/>
    <mergeCell ref="B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13" customWidth="1" min="3" max="3"/>
    <col width="66" customWidth="1" min="4" max="4"/>
    <col width="42" customWidth="1" min="5" max="5"/>
    <col width="44" customWidth="1" min="6" max="6"/>
  </cols>
  <sheetData>
    <row r="1" ht="24" customHeight="1">
      <c r="A1" s="1" t="inlineStr">
        <is>
          <t>Écartés — et pourquoi</t>
        </is>
      </c>
    </row>
    <row r="2" ht="16" customHeight="1">
      <c r="A2" s="2" t="inlineStr">
        <is>
          <t>Conservé pour ne pas les réexaminer dans six mois. Les motifs sont des critères publiés, pas des jugements.</t>
        </is>
      </c>
    </row>
    <row r="4" ht="32" customHeight="1">
      <c r="A4" s="3" t="inlineStr">
        <is>
          <t>Programme ou famille</t>
        </is>
      </c>
      <c r="B4" s="3" t="inlineStr">
        <is>
          <t>Organisme</t>
        </is>
      </c>
      <c r="C4" s="3" t="inlineStr">
        <is>
          <t>Palier</t>
        </is>
      </c>
      <c r="D4" s="3" t="inlineStr">
        <is>
          <t>Motif d'exclusion (validé)</t>
        </is>
      </c>
      <c r="E4" s="3" t="inlineStr">
        <is>
          <t>Chiffre Lasclay opposé</t>
        </is>
      </c>
      <c r="F4" s="3" t="inlineStr">
        <is>
          <t>Reprendre un jour ?</t>
        </is>
      </c>
    </row>
    <row r="5" ht="46" customHeight="1">
      <c r="A5" s="8" t="inlineStr">
        <is>
          <t>CERI — Initiative régionale de réponse tarifaire</t>
        </is>
      </c>
      <c r="B5" s="8" t="inlineStr">
        <is>
          <t>Développement économique Canada</t>
        </is>
      </c>
      <c r="C5" s="8" t="inlineStr">
        <is>
          <t>Fédéral</t>
        </is>
      </c>
      <c r="D5" s="8" t="inlineStr">
        <is>
          <t>« Avoir généré un chiffre d'affaires de 2 M$ et plus durant le dernier exercice financier complété. […] Toute candidature ne remplissant pas les critères sera automatiquement rejetée. »</t>
        </is>
      </c>
      <c r="E5" s="8" t="inlineStr">
        <is>
          <t>FY2025 : 879 125 $. FY2026 : 1 081 908 $.</t>
        </is>
      </c>
      <c r="F5" s="8" t="inlineStr">
        <is>
          <t>Non. Mesure temporaire ; le seuil ne serait franchi qu'en août 2028, quand le programme n'existera plus.</t>
        </is>
      </c>
    </row>
    <row r="6" ht="46" customHeight="1">
      <c r="A6" s="8" t="inlineStr">
        <is>
          <t>FRONTIÈRE</t>
        </is>
      </c>
      <c r="B6" s="8" t="inlineStr">
        <is>
          <t>Investissement Québec</t>
        </is>
      </c>
      <c r="C6" s="8" t="inlineStr">
        <is>
          <t>Québec</t>
        </is>
      </c>
      <c r="D6" s="8" t="inlineStr">
        <is>
          <t>Revenus d'au moins 3 M$, rentabilité dans un des deux derniers exercices, ET dépôt fermé depuis le 31 mars 2026.</t>
        </is>
      </c>
      <c r="E6" s="8" t="inlineStr">
        <is>
          <t>Revenus 1 081 908 $ ; perte de 142 745 $ en FY2026.</t>
        </is>
      </c>
      <c r="F6" s="8" t="inlineStr">
        <is>
          <t>Non. Fermé et doublement non admissible.</t>
        </is>
      </c>
    </row>
    <row r="7" ht="46" customHeight="1">
      <c r="A7" s="8" t="inlineStr">
        <is>
          <t>Fonds Impulsion</t>
        </is>
      </c>
      <c r="B7" s="8" t="inlineStr">
        <is>
          <t>Investissement Québec</t>
        </is>
      </c>
      <c r="C7" s="8" t="inlineStr">
        <is>
          <t>Québec</t>
        </is>
      </c>
      <c r="D7" s="8" t="inlineStr">
        <is>
          <t>Exclut les entreprises ayant complété un premier cycle de commercialisation ou cumulé plus de 2 M$ de revenus sur trois exercices.</t>
        </is>
      </c>
      <c r="E7" s="8" t="inlineStr">
        <is>
          <t>Cumul FY2024-2026 : 2 465 959 $.</t>
        </is>
      </c>
      <c r="F7" s="8" t="inlineStr">
        <is>
          <t>Non. Programme d'amorçage.</t>
        </is>
      </c>
    </row>
    <row r="8" ht="46" customHeight="1">
      <c r="A8" s="8" t="inlineStr">
        <is>
          <t>Programme Créavenir</t>
        </is>
      </c>
      <c r="B8" s="8" t="inlineStr">
        <is>
          <t>Desjardins</t>
        </is>
      </c>
      <c r="C8" s="8" t="inlineStr">
        <is>
          <t>Québec</t>
        </is>
      </c>
      <c r="D8" s="8" t="inlineStr">
        <is>
          <t>Entreprise existant depuis moins de 3 ans.</t>
        </is>
      </c>
      <c r="E8" s="8" t="inlineStr">
        <is>
          <t>Lasclay : fondée en 2020.</t>
        </is>
      </c>
      <c r="F8" s="8" t="inlineStr">
        <is>
          <t>Non.</t>
        </is>
      </c>
    </row>
    <row r="9" ht="46" customHeight="1">
      <c r="A9" s="8" t="inlineStr">
        <is>
          <t>Bourse de démarrage et repreneuriat</t>
        </is>
      </c>
      <c r="B9" s="8" t="inlineStr">
        <is>
          <t>Ville de Québec</t>
        </is>
      </c>
      <c r="C9" s="8" t="inlineStr">
        <is>
          <t>Municipal</t>
        </is>
      </c>
      <c r="D9" s="8" t="inlineStr">
        <is>
          <t>Fenêtre de 24 mois avant la première vente significative jusqu'à cette date.</t>
        </is>
      </c>
      <c r="E9" s="8" t="inlineStr">
        <is>
          <t>Première vente significative en 2020.</t>
        </is>
      </c>
      <c r="F9" s="8" t="inlineStr">
        <is>
          <t>Non.</t>
        </is>
      </c>
    </row>
    <row r="10" ht="46" customHeight="1">
      <c r="A10" s="8" t="inlineStr">
        <is>
          <t>DÉFI-Québec, Ville entrepreneuriale</t>
        </is>
      </c>
      <c r="B10" s="8" t="inlineStr">
        <is>
          <t>Ville de Québec</t>
        </is>
      </c>
      <c r="C10" s="8" t="inlineStr">
        <is>
          <t>Municipal</t>
        </is>
      </c>
      <c r="D10" s="8" t="inlineStr">
        <is>
          <t>Fenêtre de 12 mois avant à 36 mois après la première vente significative.</t>
        </is>
      </c>
      <c r="E10" s="8" t="inlineStr">
        <is>
          <t>Hors fenêtre depuis 2023.</t>
        </is>
      </c>
      <c r="F10" s="8" t="inlineStr">
        <is>
          <t>Non.</t>
        </is>
      </c>
    </row>
    <row r="11" ht="46" customHeight="1">
      <c r="A11" s="8" t="inlineStr">
        <is>
          <t>Fonds d'investissement Eurêka</t>
        </is>
      </c>
      <c r="B11" s="8" t="inlineStr">
        <is>
          <t>Investissement Québec</t>
        </is>
      </c>
      <c r="C11" s="8" t="inlineStr">
        <is>
          <t>Québec</t>
        </is>
      </c>
      <c r="D11" s="8" t="inlineStr">
        <is>
          <t>Propriété intellectuelle devant être issue de la recherche publique québécoise.</t>
        </is>
      </c>
      <c r="E11" s="8" t="inlineStr">
        <is>
          <t>PI développée à l'interne, à l'atelier.</t>
        </is>
      </c>
      <c r="F11" s="8" t="inlineStr">
        <is>
          <t>Non.</t>
        </is>
      </c>
    </row>
    <row r="12" ht="46" customHeight="1">
      <c r="A12" s="8" t="inlineStr">
        <is>
          <t>Fonds de réponse stratégique (FRS)</t>
        </is>
      </c>
      <c r="B12" s="8" t="inlineStr">
        <is>
          <t>ISDE</t>
        </is>
      </c>
      <c r="C12" s="8" t="inlineStr">
        <is>
          <t>Fédéral</t>
        </is>
      </c>
      <c r="D12" s="8" t="inlineStr">
        <is>
          <t>Contribution minimale de 10 M$ pour un projet d'au moins 20 M$.</t>
        </is>
      </c>
      <c r="E12" s="8" t="inlineStr">
        <is>
          <t>Total des actifs : 414 753 $.</t>
        </is>
      </c>
      <c r="F12" s="8" t="inlineStr">
        <is>
          <t>Non. Hors échelle de deux ordres de grandeur.</t>
        </is>
      </c>
    </row>
    <row r="13" ht="46" customHeight="1">
      <c r="A13" s="8" t="inlineStr">
        <is>
          <t>Offensive de transformation numérique</t>
        </is>
      </c>
      <c r="B13" s="8" t="inlineStr">
        <is>
          <t>MEIE</t>
        </is>
      </c>
      <c r="C13" s="8" t="inlineStr">
        <is>
          <t>Québec</t>
        </is>
      </c>
      <c r="D13" s="8" t="inlineStr">
        <is>
          <t>« Les projets déposés par des entreprises à but lucratif (à titre d'organisme demandeur) » ne sont pas admissibles.</t>
        </is>
      </c>
      <c r="E13" s="8" t="inlineStr">
        <is>
          <t>Lasclay est à but lucratif.</t>
        </is>
      </c>
      <c r="F13" s="8" t="inlineStr">
        <is>
          <t>Indirectement, si une association sectorielle porte un projet collectif.</t>
        </is>
      </c>
    </row>
    <row r="14" ht="46" customHeight="1">
      <c r="A14" s="8" t="inlineStr">
        <is>
          <t>Fonds Écoleader — Soutien à l'implantation</t>
        </is>
      </c>
      <c r="B14" s="8" t="inlineStr">
        <is>
          <t>FAQDD</t>
        </is>
      </c>
      <c r="C14" s="8" t="inlineStr">
        <is>
          <t>Québec</t>
        </is>
      </c>
      <c r="D14" s="8" t="inlineStr">
        <is>
          <t>Enveloppe DEC de janvier 2025 écoulée : « il n'est plus possible de déposer une demande ».</t>
        </is>
      </c>
      <c r="E14" s="8" t="inlineStr">
        <is>
          <t>—</t>
        </is>
      </c>
      <c r="F14" s="8" t="inlineStr">
        <is>
          <t>Remplacé par le volet Biodiversité, au rang 14 du plan.</t>
        </is>
      </c>
    </row>
    <row r="15" ht="46" customHeight="1">
      <c r="A15" s="8" t="inlineStr">
        <is>
          <t>Recyc-Québec — Écoconception</t>
        </is>
      </c>
      <c r="B15" s="8" t="inlineStr">
        <is>
          <t>Recyc-Québec</t>
        </is>
      </c>
      <c r="C15" s="8" t="inlineStr">
        <is>
          <t>Québec</t>
        </is>
      </c>
      <c r="D15" s="8" t="inlineStr">
        <is>
          <t>Appel de propositions clos.</t>
        </is>
      </c>
      <c r="E15" s="8" t="inlineStr">
        <is>
          <t>—</t>
        </is>
      </c>
      <c r="F15" s="16" t="inlineStr">
        <is>
          <t>Oui. Surveiller la prochaine édition ; l'attestation ICI on recycle + est un prérequis.</t>
        </is>
      </c>
    </row>
    <row r="16" ht="46" customHeight="1">
      <c r="A16" s="8" t="inlineStr">
        <is>
          <t>PRIMA, CRITM, CQRDA, CRIAQ, CRIBIQ, InnovÉÉ, PROMPT, MEDTEQ+, CQDM (environ 40 programmes)</t>
        </is>
      </c>
      <c r="B16" s="8" t="inlineStr">
        <is>
          <t>Consortiums sectoriels</t>
        </is>
      </c>
      <c r="C16" s="8" t="inlineStr">
        <is>
          <t>Québec</t>
        </is>
      </c>
      <c r="D16" s="8" t="inlineStr">
        <is>
          <t>Filières hors périmètre — métallurgie, aluminium, aérospatiale, bioprocédés industriels, énergie, télécoms, technologies médicales, médicament — et partenariat de recherche formel exigé.</t>
        </is>
      </c>
      <c r="E16" s="8" t="inlineStr">
        <is>
          <t>—</t>
        </is>
      </c>
      <c r="F16" s="8" t="inlineStr">
        <is>
          <t>Seulement si un partenariat de recherche universitaire émerge sur la fibre.</t>
        </is>
      </c>
    </row>
    <row r="17" ht="46" customHeight="1">
      <c r="A17" s="8" t="inlineStr">
        <is>
          <t>Minéraux critiques, domaine minier, construction bois, pneus hors d'usage, biomasse forestière</t>
        </is>
      </c>
      <c r="B17" s="8" t="inlineStr">
        <is>
          <t>MRNF et divers</t>
        </is>
      </c>
      <c r="C17" s="8" t="inlineStr">
        <is>
          <t>Québec</t>
        </is>
      </c>
      <c r="D17" s="8" t="inlineStr">
        <is>
          <t>Filières hors périmètre.</t>
        </is>
      </c>
      <c r="E17" s="8" t="inlineStr">
        <is>
          <t>—</t>
        </is>
      </c>
      <c r="F17" s="8" t="inlineStr">
        <is>
          <t>Non.</t>
        </is>
      </c>
    </row>
    <row r="18" ht="46" customHeight="1">
      <c r="A18" s="8" t="inlineStr">
        <is>
          <t>Technoclimat, Écocharge, Hydro-Québec (3 programmes)</t>
        </is>
      </c>
      <c r="B18" s="8" t="inlineStr">
        <is>
          <t>Transition énergétique et Hydro-Québec</t>
        </is>
      </c>
      <c r="C18" s="8" t="inlineStr">
        <is>
          <t>Québec</t>
        </is>
      </c>
      <c r="D18" s="8" t="inlineStr">
        <is>
          <t>Ciblent la réduction des GES, l'efficacité énergétique, les bornes de recharge et les projets immobiliers de plus de 50 000 m².</t>
        </is>
      </c>
      <c r="E18" s="8" t="inlineStr">
        <is>
          <t>—</t>
        </is>
      </c>
      <c r="F18" s="8" t="inlineStr">
        <is>
          <t>Non.</t>
        </is>
      </c>
    </row>
    <row r="19" ht="46" customHeight="1">
      <c r="A19" s="8" t="inlineStr">
        <is>
          <t>MAPAQ (PADAAR, Innovation bioalimentaire), AAC (Agri-science, priorités stratégiques), FADQ</t>
        </is>
      </c>
      <c r="B19" s="8" t="inlineStr">
        <is>
          <t>MAPAQ, AAC, FADQ</t>
        </is>
      </c>
      <c r="C19" s="8" t="inlineStr">
        <is>
          <t>Québec et fédéral</t>
        </is>
      </c>
      <c r="D19" s="8" t="inlineStr">
        <is>
          <t>Réservés aux entreprises agricoles enregistrées, aux établissements de recherche ou aux regroupements de producteurs.</t>
        </is>
      </c>
      <c r="E19" s="8" t="inlineStr">
        <is>
          <t>Lasclay achète l'asclépiade, ne la cultive pas.</t>
        </is>
      </c>
      <c r="F19" s="16" t="inlineStr">
        <is>
          <t>OUI — c'est l'exception à surveiller. Ces enveloppes deviendraient accessibles via un regroupement de producteurs d'asclépiade, ou si Lasclay développait une production primaire.</t>
        </is>
      </c>
    </row>
    <row r="20" ht="46" customHeight="1">
      <c r="A20" s="8" t="inlineStr">
        <is>
          <t>SODEC — Aide aux initiatives innovantes</t>
        </is>
      </c>
      <c r="B20" s="8" t="inlineStr">
        <is>
          <t>SODEC</t>
        </is>
      </c>
      <c r="C20" s="8" t="inlineStr">
        <is>
          <t>Québec</t>
        </is>
      </c>
      <c r="D20" s="8" t="inlineStr">
        <is>
          <t>Réservé aux entreprises culturelles.</t>
        </is>
      </c>
      <c r="E20" s="8" t="inlineStr">
        <is>
          <t>—</t>
        </is>
      </c>
      <c r="F20" s="8" t="inlineStr">
        <is>
          <t>Non.</t>
        </is>
      </c>
    </row>
    <row r="21" ht="46" customHeight="1">
      <c r="A21" s="8" t="inlineStr">
        <is>
          <t>Programme des entrepreneurs — Volet 1</t>
        </is>
      </c>
      <c r="B21" s="8" t="inlineStr">
        <is>
          <t>MIFI</t>
        </is>
      </c>
      <c r="C21" s="8" t="inlineStr">
        <is>
          <t>Québec</t>
        </is>
      </c>
      <c r="D21" s="8" t="inlineStr">
        <is>
          <t>Programme d'immigration économique.</t>
        </is>
      </c>
      <c r="E21" s="8" t="inlineStr">
        <is>
          <t>—</t>
        </is>
      </c>
      <c r="F21" s="8" t="inlineStr">
        <is>
          <t>Non.</t>
        </is>
      </c>
    </row>
    <row r="22" ht="46" customHeight="1">
      <c r="A22" s="8" t="inlineStr">
        <is>
          <t>PME MTL, Laval Économique, DEL Longueuil, ID Gatineau, Papineau-Collines, SADC (environ 20 programmes)</t>
        </is>
      </c>
      <c r="B22" s="8" t="inlineStr">
        <is>
          <t>Organismes régionaux</t>
        </is>
      </c>
      <c r="C22" s="8" t="inlineStr">
        <is>
          <t>Municipal</t>
        </is>
      </c>
      <c r="D22" s="8" t="inlineStr">
        <is>
          <t>Territoire : réservés à leur agglomération.</t>
        </is>
      </c>
      <c r="E22" s="8" t="inlineStr">
        <is>
          <t>Siège au 1286 av. de la Ronde, Québec.</t>
        </is>
      </c>
      <c r="F22" s="8" t="inlineStr">
        <is>
          <t>Non.</t>
        </is>
      </c>
    </row>
    <row r="23" ht="46" customHeight="1">
      <c r="A23" s="8" t="inlineStr">
        <is>
          <t>88 programmes du répertoire Innoveici</t>
        </is>
      </c>
      <c r="B23" s="8" t="inlineStr">
        <is>
          <t>Divers</t>
        </is>
      </c>
      <c r="C23" s="8" t="inlineStr">
        <is>
          <t>Divers</t>
        </is>
      </c>
      <c r="D23" s="8" t="inlineStr">
        <is>
          <t>N'acceptaient pas de demandes au 5 août 2026.</t>
        </is>
      </c>
      <c r="E23" s="8" t="inlineStr">
        <is>
          <t>—</t>
        </is>
      </c>
      <c r="F23" s="16" t="inlineStr">
        <is>
          <t>OUI. Rebalayer en janvier 2027 ; plusieurs rouvrent par appels de projets.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6" customWidth="1" min="3" max="3"/>
    <col width="36" customWidth="1" min="4" max="4"/>
    <col width="20" customWidth="1" min="5" max="5"/>
    <col width="50" customWidth="1" min="6" max="6"/>
  </cols>
  <sheetData>
    <row r="1" ht="24" customHeight="1">
      <c r="A1" s="1" t="inlineStr">
        <is>
          <t>Calendrier des fenêtres — août 2026 à août 2028</t>
        </is>
      </c>
    </row>
    <row r="2" ht="16" customHeight="1">
      <c r="A2" s="2" t="inlineStr">
        <is>
          <t>Exercice Lasclay : 1er septembre au 31 août. Les dates en jaune sont des points de non-retour.</t>
        </is>
      </c>
    </row>
    <row r="4" ht="32" customHeight="1">
      <c r="A4" s="3" t="inlineStr">
        <is>
          <t>Échéance</t>
        </is>
      </c>
      <c r="B4" s="3" t="inlineStr">
        <is>
          <t>Exercice / trimestre</t>
        </is>
      </c>
      <c r="C4" s="3" t="inlineStr">
        <is>
          <t>Action</t>
        </is>
      </c>
      <c r="D4" s="3" t="inlineStr">
        <is>
          <t>Programme</t>
        </is>
      </c>
      <c r="E4" s="3" t="inlineStr">
        <is>
          <t>Type d'échéance</t>
        </is>
      </c>
      <c r="F4" s="3" t="inlineStr">
        <is>
          <t>Conséquence si manqué</t>
        </is>
      </c>
    </row>
    <row r="5" ht="32" customHeight="1">
      <c r="A5" s="8" t="inlineStr">
        <is>
          <t>31 août 2026, 12 h</t>
        </is>
      </c>
      <c r="B5" s="8" t="inlineStr">
        <is>
          <t>FY2026 — clôture</t>
        </is>
      </c>
      <c r="C5" s="8" t="inlineStr">
        <is>
          <t>Décider : déposer CanExport PME maintenant pour un marché européen, ou bâtir le dossier pour février 2027</t>
        </is>
      </c>
      <c r="D5" s="8" t="inlineStr">
        <is>
          <t>CanExport PME</t>
        </is>
      </c>
      <c r="E5" s="8" t="inlineStr">
        <is>
          <t>Fermeture d'appel</t>
        </is>
      </c>
      <c r="F5" s="8" t="inlineStr"/>
    </row>
    <row r="6" ht="32" customHeight="1">
      <c r="A6" s="8" t="inlineStr">
        <is>
          <t>31 août 2026</t>
        </is>
      </c>
      <c r="B6" s="8" t="inlineStr">
        <is>
          <t>FY2026 — clôture</t>
        </is>
      </c>
      <c r="C6" s="8" t="inlineStr">
        <is>
          <t>Clôture de l'exercice FY2026</t>
        </is>
      </c>
      <c r="D6" s="8" t="inlineStr">
        <is>
          <t>—</t>
        </is>
      </c>
      <c r="E6" s="8" t="inlineStr">
        <is>
          <t>Comptable</t>
        </is>
      </c>
      <c r="F6" s="8" t="inlineStr"/>
    </row>
    <row r="7" ht="32" customHeight="1">
      <c r="A7" s="8" t="inlineStr">
        <is>
          <t>Août 2026</t>
        </is>
      </c>
      <c r="B7" s="8" t="inlineStr">
        <is>
          <t>Immédiat</t>
        </is>
      </c>
      <c r="C7" s="8" t="inlineStr">
        <is>
          <t>Confirmer avec le comptable si la réclamation RS&amp;DE de FY2025 a été produite</t>
        </is>
      </c>
      <c r="D7" s="8" t="inlineStr">
        <is>
          <t>RS&amp;DE / CRIC</t>
        </is>
      </c>
      <c r="E7" s="8" t="inlineStr">
        <is>
          <t>Vérification</t>
        </is>
      </c>
      <c r="F7" s="8" t="inlineStr">
        <is>
          <t>Perte définitive du crédit après le 28 février 2027</t>
        </is>
      </c>
    </row>
    <row r="8" ht="32" customHeight="1">
      <c r="A8" s="8" t="inlineStr">
        <is>
          <t>Sept — nov 2026</t>
        </is>
      </c>
      <c r="B8" s="8" t="inlineStr">
        <is>
          <t>FY2027 T1</t>
        </is>
      </c>
      <c r="C8" s="8" t="inlineStr">
        <is>
          <t>Produire la réclamation RS&amp;DE et CRIC de FY2026 dans la foulée des états financiers</t>
        </is>
      </c>
      <c r="D8" s="8" t="inlineStr">
        <is>
          <t>RS&amp;DE / CRIC</t>
        </is>
      </c>
      <c r="E8" s="8" t="inlineStr">
        <is>
          <t>Dépôt</t>
        </is>
      </c>
      <c r="F8" s="8" t="inlineStr"/>
    </row>
    <row r="9" ht="32" customHeight="1">
      <c r="A9" s="8" t="inlineStr">
        <is>
          <t>Sept — nov 2026</t>
        </is>
      </c>
      <c r="B9" s="8" t="inlineStr">
        <is>
          <t>FY2027 T1</t>
        </is>
      </c>
      <c r="C9" s="8" t="inlineStr">
        <is>
          <t>Demander un conseiller CTI et poser d'emblée la question de l'arbitrage avec la RS&amp;DE</t>
        </is>
      </c>
      <c r="D9" s="8" t="inlineStr">
        <is>
          <t>PARI-CNRC</t>
        </is>
      </c>
      <c r="E9" s="8" t="inlineStr">
        <is>
          <t>Premier contact</t>
        </is>
      </c>
      <c r="F9" s="8" t="inlineStr"/>
    </row>
    <row r="10" ht="32" customHeight="1">
      <c r="A10" s="8" t="inlineStr">
        <is>
          <t>Sept — nov 2026</t>
        </is>
      </c>
      <c r="B10" s="8" t="inlineStr">
        <is>
          <t>FY2027 T1</t>
        </is>
      </c>
      <c r="C10" s="8" t="inlineStr">
        <is>
          <t>Un seul appel à Services Québec pour couvrir les trois mesures (emploi, formation, GRH)</t>
        </is>
      </c>
      <c r="D10" s="8" t="inlineStr">
        <is>
          <t>Services Québec</t>
        </is>
      </c>
      <c r="E10" s="8" t="inlineStr">
        <is>
          <t>Premier contact</t>
        </is>
      </c>
      <c r="F10" s="8" t="inlineStr"/>
    </row>
    <row r="11" ht="32" customHeight="1">
      <c r="A11" s="8" t="inlineStr">
        <is>
          <t>Sept — nov 2026</t>
        </is>
      </c>
      <c r="B11" s="8" t="inlineStr">
        <is>
          <t>FY2027 T1</t>
        </is>
      </c>
      <c r="C11" s="8" t="inlineStr">
        <is>
          <t>Faire trancher par la Ville : l'enveloppe Capitale-Innovation est-elle disponible ou en attente du renouvellement de l'entente ?</t>
        </is>
      </c>
      <c r="D11" s="8" t="inlineStr">
        <is>
          <t>Capitale-Innovation</t>
        </is>
      </c>
      <c r="E11" s="8" t="inlineStr">
        <is>
          <t>Vérification</t>
        </is>
      </c>
      <c r="F11" s="8" t="inlineStr">
        <is>
          <t>Un dossier de 500 k$ monté pour rien</t>
        </is>
      </c>
    </row>
    <row r="12" ht="32" customHeight="1">
      <c r="A12" s="8" t="inlineStr">
        <is>
          <t>~11 décembre 2026</t>
        </is>
      </c>
      <c r="B12" s="8" t="inlineStr">
        <is>
          <t>FY2027 T2</t>
        </is>
      </c>
      <c r="C12" s="8" t="inlineStr">
        <is>
          <t>Déposer la demande pour l'été 2027</t>
        </is>
      </c>
      <c r="D12" s="8" t="inlineStr">
        <is>
          <t>Emplois d'été Canada</t>
        </is>
      </c>
      <c r="E12" s="8" t="inlineStr">
        <is>
          <t>Fermeture d'appel</t>
        </is>
      </c>
      <c r="F12" s="8" t="inlineStr">
        <is>
          <t>Report d'un an complet</t>
        </is>
      </c>
    </row>
    <row r="13" ht="32" customHeight="1">
      <c r="A13" s="8" t="inlineStr">
        <is>
          <t>~4 février 2027</t>
        </is>
      </c>
      <c r="B13" s="8" t="inlineStr">
        <is>
          <t>FY2027 T2</t>
        </is>
      </c>
      <c r="C13" s="8" t="inlineStr">
        <is>
          <t>Déposer dès les premiers jours : premier arrivé, premier servi</t>
        </is>
      </c>
      <c r="D13" s="8" t="inlineStr">
        <is>
          <t>CanExport PME 2027-28</t>
        </is>
      </c>
      <c r="E13" s="8" t="inlineStr">
        <is>
          <t>Ouverture d'appel</t>
        </is>
      </c>
      <c r="F13" s="8" t="inlineStr">
        <is>
          <t>Épuisement de l'enveloppe en cours d'exercice</t>
        </is>
      </c>
    </row>
    <row r="14" ht="32" customHeight="1">
      <c r="A14" s="17" t="inlineStr">
        <is>
          <t>28 FÉVRIER 2027</t>
        </is>
      </c>
      <c r="B14" s="17" t="inlineStr">
        <is>
          <t>FY2027 T2</t>
        </is>
      </c>
      <c r="C14" s="17" t="inlineStr">
        <is>
          <t>DATE LIMITE ABSOLUE de production de la réclamation RS&amp;DE pour FY2025</t>
        </is>
      </c>
      <c r="D14" s="17" t="inlineStr">
        <is>
          <t>RS&amp;DE FY2025</t>
        </is>
      </c>
      <c r="E14" s="17" t="inlineStr">
        <is>
          <t>LIMITE FERME</t>
        </is>
      </c>
      <c r="F14" s="17" t="inlineStr">
        <is>
          <t>Perte définitive. L'ARC n'a aucun pouvoir discrétionnaire.</t>
        </is>
      </c>
    </row>
    <row r="15" ht="32" customHeight="1">
      <c r="A15" s="8" t="inlineStr">
        <is>
          <t>Déc 2026 — fév 2027</t>
        </is>
      </c>
      <c r="B15" s="8" t="inlineStr">
        <is>
          <t>FY2027 T2</t>
        </is>
      </c>
      <c r="C15" s="8" t="inlineStr">
        <is>
          <t>Déposer les subventions salariales de stage pour l'hiver et l'été</t>
        </is>
      </c>
      <c r="D15" s="8" t="inlineStr">
        <is>
          <t>PSPE et Riipen</t>
        </is>
      </c>
      <c r="E15" s="8" t="inlineStr">
        <is>
          <t>Par trimestre</t>
        </is>
      </c>
      <c r="F15" s="8" t="inlineStr"/>
    </row>
    <row r="16" ht="32" customHeight="1">
      <c r="A16" s="8" t="inlineStr">
        <is>
          <t>Mars — août 2027</t>
        </is>
      </c>
      <c r="B16" s="8" t="inlineStr">
        <is>
          <t>FY2027 T3-T4</t>
        </is>
      </c>
      <c r="C16" s="8" t="inlineStr">
        <is>
          <t>Monter le dossier DEC Expansion en le cadrant comme manufacturier, pas comme commerce en ligne</t>
        </is>
      </c>
      <c r="D16" s="8" t="inlineStr">
        <is>
          <t>CERI Expansion</t>
        </is>
      </c>
      <c r="E16" s="8" t="inlineStr">
        <is>
          <t>Dépôt en continu</t>
        </is>
      </c>
      <c r="F16" s="8" t="inlineStr"/>
    </row>
    <row r="17" ht="32" customHeight="1">
      <c r="A17" s="8" t="inlineStr">
        <is>
          <t>Mars — août 2027</t>
        </is>
      </c>
      <c r="B17" s="8" t="inlineStr">
        <is>
          <t>FY2027 T3</t>
        </is>
      </c>
      <c r="C17" s="8" t="inlineStr">
        <is>
          <t>Demander l'accompagnement technologique seul, sans le volet financement</t>
        </is>
      </c>
      <c r="D17" s="8" t="inlineStr">
        <is>
          <t>grand V</t>
        </is>
      </c>
      <c r="E17" s="8" t="inlineStr">
        <is>
          <t>Dépôt en continu</t>
        </is>
      </c>
      <c r="F17" s="8" t="inlineStr"/>
    </row>
    <row r="18" ht="32" customHeight="1">
      <c r="A18" s="8" t="inlineStr">
        <is>
          <t>Mensuel, à partir de sept 2026</t>
        </is>
      </c>
      <c r="B18" s="8" t="inlineStr">
        <is>
          <t>FY2027 — continu</t>
        </is>
      </c>
      <c r="C18" s="8" t="inlineStr">
        <is>
          <t>Relancer le FAQDD au 418 692-5888 jusqu'à publication des modalités</t>
        </is>
      </c>
      <c r="D18" s="8" t="inlineStr">
        <is>
          <t>Écoleader Biodiversité</t>
        </is>
      </c>
      <c r="E18" s="8" t="inlineStr">
        <is>
          <t>Veille active</t>
        </is>
      </c>
      <c r="F18" s="8" t="inlineStr">
        <is>
          <t>Enveloppe de 5,7 M$ épuisée avant d'avoir déposé</t>
        </is>
      </c>
    </row>
    <row r="19" ht="32" customHeight="1">
      <c r="A19" s="8" t="inlineStr">
        <is>
          <t>Mars — août 2027</t>
        </is>
      </c>
      <c r="B19" s="8" t="inlineStr">
        <is>
          <t>FY2027 T3</t>
        </is>
      </c>
      <c r="C19" s="8" t="inlineStr">
        <is>
          <t>Monter un stage de caractérisation de la fibre en laboratoire</t>
        </is>
      </c>
      <c r="D19" s="8" t="inlineStr">
        <is>
          <t>Mitacs</t>
        </is>
      </c>
      <c r="E19" s="8" t="inlineStr">
        <is>
          <t>Dépôt en continu</t>
        </is>
      </c>
      <c r="F19" s="8" t="inlineStr"/>
    </row>
    <row r="20" ht="32" customHeight="1">
      <c r="A20" s="8" t="inlineStr">
        <is>
          <t>Sept — nov 2027</t>
        </is>
      </c>
      <c r="B20" s="8" t="inlineStr">
        <is>
          <t>FY2028 T1</t>
        </is>
      </c>
      <c r="C20" s="8" t="inlineStr">
        <is>
          <t>Produire la réclamation RS&amp;DE et CRIC de FY2027 dès la clôture</t>
        </is>
      </c>
      <c r="D20" s="8" t="inlineStr">
        <is>
          <t>RS&amp;DE / CRIC</t>
        </is>
      </c>
      <c r="E20" s="8" t="inlineStr">
        <is>
          <t>Dépôt</t>
        </is>
      </c>
      <c r="F20" s="8" t="inlineStr">
        <is>
          <t>Le réflexe doit devenir annuel</t>
        </is>
      </c>
    </row>
    <row r="21" ht="32" customHeight="1">
      <c r="A21" s="8" t="inlineStr">
        <is>
          <t>Sept — nov 2027</t>
        </is>
      </c>
      <c r="B21" s="8" t="inlineStr">
        <is>
          <t>FY2028 T1</t>
        </is>
      </c>
      <c r="C21" s="8" t="inlineStr">
        <is>
          <t>Rouvrir le dossier IQ si FY2027 revient au positif : grand V, ESSOR volet 2</t>
        </is>
      </c>
      <c r="D21" s="8" t="inlineStr">
        <is>
          <t>Investissement Québec</t>
        </is>
      </c>
      <c r="E21" s="8" t="inlineStr">
        <is>
          <t>Réévaluation</t>
        </is>
      </c>
      <c r="F21" s="8" t="inlineStr"/>
    </row>
    <row r="22" ht="32" customHeight="1">
      <c r="A22" s="8" t="inlineStr">
        <is>
          <t>~Février 2028</t>
        </is>
      </c>
      <c r="B22" s="8" t="inlineStr">
        <is>
          <t>FY2028 T2</t>
        </is>
      </c>
      <c r="C22" s="8" t="inlineStr">
        <is>
          <t>Déposer sur un deuxième marché européen si le premier a produit des résultats</t>
        </is>
      </c>
      <c r="D22" s="8" t="inlineStr">
        <is>
          <t>CanExport PME 2028-29</t>
        </is>
      </c>
      <c r="E22" s="8" t="inlineStr">
        <is>
          <t>Ouverture d'appel</t>
        </is>
      </c>
      <c r="F22" s="8" t="inlineStr"/>
    </row>
    <row r="23" ht="32" customHeight="1">
      <c r="A23" s="17" t="inlineStr">
        <is>
          <t>28 FÉVRIER 2028</t>
        </is>
      </c>
      <c r="B23" s="17" t="inlineStr">
        <is>
          <t>FY2028 T2</t>
        </is>
      </c>
      <c r="C23" s="17" t="inlineStr">
        <is>
          <t>DATE LIMITE ABSOLUE de production de la réclamation RS&amp;DE pour FY2026</t>
        </is>
      </c>
      <c r="D23" s="17" t="inlineStr">
        <is>
          <t>RS&amp;DE FY2026</t>
        </is>
      </c>
      <c r="E23" s="17" t="inlineStr">
        <is>
          <t>LIMITE FERME</t>
        </is>
      </c>
      <c r="F23" s="17" t="inlineStr">
        <is>
          <t>Perte définitive de 45 k$ à 70 k$.</t>
        </is>
      </c>
    </row>
    <row r="24" ht="32" customHeight="1">
      <c r="A24" s="8" t="inlineStr">
        <is>
          <t>Mars — août 2028</t>
        </is>
      </c>
      <c r="B24" s="8" t="inlineStr">
        <is>
          <t>FY2028 T3</t>
        </is>
      </c>
      <c r="C24" s="8" t="inlineStr">
        <is>
          <t>Déposer Capitale-Innovation si l'entente est renouvelée et la trésorerie reconstituée</t>
        </is>
      </c>
      <c r="D24" s="8" t="inlineStr">
        <is>
          <t>Capitale-Innovation</t>
        </is>
      </c>
      <c r="E24" s="8" t="inlineStr">
        <is>
          <t>Dépôt</t>
        </is>
      </c>
      <c r="F24" s="8" t="inlineStr">
        <is>
          <t>C'est le dossier de fin de plan, pas de début</t>
        </is>
      </c>
    </row>
    <row r="25" ht="32" customHeight="1">
      <c r="A25" s="8" t="inlineStr">
        <is>
          <t>Mars — août 2028</t>
        </is>
      </c>
      <c r="B25" s="8" t="inlineStr">
        <is>
          <t>FY2028 T3</t>
        </is>
      </c>
      <c r="C25" s="8" t="inlineStr">
        <is>
          <t>Financer les études de faisabilité en amont d'un projet d'équipement</t>
        </is>
      </c>
      <c r="D25" s="8" t="inlineStr">
        <is>
          <t>ESSOR volet 1</t>
        </is>
      </c>
      <c r="E25" s="8" t="inlineStr">
        <is>
          <t>Dépôt en continu</t>
        </is>
      </c>
      <c r="F25" s="8" t="inlineStr"/>
    </row>
    <row r="26" ht="32" customHeight="1">
      <c r="A26" s="8" t="inlineStr">
        <is>
          <t>Août 2028</t>
        </is>
      </c>
      <c r="B26" s="8" t="inlineStr">
        <is>
          <t>FY2028 — clôture</t>
        </is>
      </c>
      <c r="C26" s="8" t="inlineStr">
        <is>
          <t>Revalider le seuil de 2 M$ : une catégorie entière de programmes fédéraux s'ouvre au-delà</t>
        </is>
      </c>
      <c r="D26" s="8" t="inlineStr">
        <is>
          <t>Divers fédéral</t>
        </is>
      </c>
      <c r="E26" s="8" t="inlineStr">
        <is>
          <t>Jalon</t>
        </is>
      </c>
      <c r="F26" s="8" t="inlineStr"/>
    </row>
    <row r="27" ht="32" customHeight="1">
      <c r="A27" s="8" t="inlineStr">
        <is>
          <t>Janvier 2027, puis janvier 2028</t>
        </is>
      </c>
      <c r="B27" s="8" t="inlineStr">
        <is>
          <t>Annuel</t>
        </is>
      </c>
      <c r="C27" s="8" t="inlineStr">
        <is>
          <t>Rebalayer le répertoire Innoveici : 88 des 208 programmes étaient fermés au 5 août 2026</t>
        </is>
      </c>
      <c r="D27" s="8" t="inlineStr">
        <is>
          <t>Veille</t>
        </is>
      </c>
      <c r="E27" s="8" t="inlineStr">
        <is>
          <t>Récurrent</t>
        </is>
      </c>
      <c r="F27" s="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72" customWidth="1" min="5" max="5"/>
  </cols>
  <sheetData>
    <row r="1" ht="24" customHeight="1">
      <c r="A1" s="1" t="inlineStr">
        <is>
          <t>Diagnostic financier — source des verdicts d'admissibilité</t>
        </is>
      </c>
    </row>
    <row r="2" ht="16" customHeight="1">
      <c r="A2" s="2" t="inlineStr">
        <is>
          <t>Extrait de QuickBooks Online (Les Produits Lasclay Inc) via le Finance Proxy, méthode d'exercice, le 5 août 2026. FY2026 court du 1er sept 2025 au 31 août 2026 et n'est pas clôturé.</t>
        </is>
      </c>
    </row>
    <row r="4" ht="32" customHeight="1">
      <c r="A4" s="3" t="inlineStr">
        <is>
          <t>Poste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</t>
        </is>
      </c>
      <c r="E4" s="3" t="inlineStr">
        <is>
          <t>Pourquoi ça compte pour une demande</t>
        </is>
      </c>
    </row>
    <row r="5" ht="30" customHeight="1">
      <c r="A5" s="5" t="inlineStr">
        <is>
          <t>Revenus totaux</t>
        </is>
      </c>
      <c r="B5" s="7" t="n">
        <v>504925.92</v>
      </c>
      <c r="C5" s="7" t="n">
        <v>879125.39</v>
      </c>
      <c r="D5" s="7" t="n">
        <v>1081908.44</v>
      </c>
      <c r="E5" s="8" t="inlineStr">
        <is>
          <t>Sous le seuil de 2 M$ de l'IRRT et sous les 3 M$ de FRONTIÈRE. Cumul sur trois exercices au-dessus de 2 M$, ce qui exclut Fonds Impulsion.</t>
        </is>
      </c>
    </row>
    <row r="6" ht="30" customHeight="1">
      <c r="A6" s="5" t="inlineStr">
        <is>
          <t>Coût des marchandises vendues</t>
        </is>
      </c>
      <c r="B6" s="7" t="n">
        <v>174037.48</v>
      </c>
      <c r="C6" s="7" t="n">
        <v>237003.81</v>
      </c>
      <c r="D6" s="7" t="n">
        <v>418885.73</v>
      </c>
      <c r="E6" s="8" t="inlineStr">
        <is>
          <t>La hausse suit la sous-traitance tunisienne.</t>
        </is>
      </c>
    </row>
    <row r="7" ht="30" customHeight="1">
      <c r="A7" s="5" t="inlineStr">
        <is>
          <t>Marge brute</t>
        </is>
      </c>
      <c r="B7" s="18">
        <f>(B5-B6)/B5</f>
        <v>0.6553207646777174</v>
      </c>
      <c r="C7" s="18">
        <f>(C5-C6)/C5</f>
        <v>0.7304095494273007</v>
      </c>
      <c r="D7" s="18">
        <f>(D5-D6)/D5</f>
        <v>0.6128270059525555</v>
      </c>
      <c r="E7" s="8" t="inlineStr">
        <is>
          <t>Recul de 11,7 points en un exercice, pendant la première année complète du virage manufacturier.</t>
        </is>
      </c>
    </row>
    <row r="8" ht="30" customHeight="1">
      <c r="A8" s="5" t="inlineStr">
        <is>
          <t>Sous-traitance (dont couture)</t>
        </is>
      </c>
      <c r="B8" s="7" t="n">
        <v>52325.54</v>
      </c>
      <c r="C8" s="7" t="n">
        <v>92252.31</v>
      </c>
      <c r="D8" s="7" t="n">
        <v>187393.15</v>
      </c>
      <c r="E8" s="8" t="inlineStr">
        <is>
          <t>Preuve du virage vers l'assemblage externe — utile pour cadrer un dossier manufacturier.</t>
        </is>
      </c>
    </row>
    <row r="9" ht="30" customHeight="1">
      <c r="A9" s="5" t="inlineStr">
        <is>
          <t>Marketing</t>
        </is>
      </c>
      <c r="B9" s="7" t="n">
        <v>102361.34</v>
      </c>
      <c r="C9" s="7" t="n">
        <v>247565.96</v>
      </c>
      <c r="D9" s="7" t="n">
        <v>315286.31</v>
      </c>
      <c r="E9" s="8" t="inlineStr">
        <is>
          <t>29,1 % du chiffre d'affaires en FY2026. Facebook Ads seul : 266 451 $, soit 24,6 %.</t>
        </is>
      </c>
    </row>
    <row r="10" ht="30" customHeight="1">
      <c r="A10" s="5" t="inlineStr">
        <is>
          <t>Recherche et développement</t>
        </is>
      </c>
      <c r="B10" s="7" t="n">
        <v>38302.12</v>
      </c>
      <c r="C10" s="7" t="n">
        <v>51888.78</v>
      </c>
      <c r="D10" s="7" t="n">
        <v>116641.89</v>
      </c>
      <c r="E10" s="8" t="inlineStr">
        <is>
          <t>Assiette de la réclamation RS&amp;DE et CRIC. Le compte 6061 porte 103 364 $ de salaires RSDE en FY2026.</t>
        </is>
      </c>
    </row>
    <row r="11" ht="30" customHeight="1">
      <c r="A11" s="5" t="inlineStr">
        <is>
          <t>Intérêts</t>
        </is>
      </c>
      <c r="B11" s="7" t="n">
        <v>22812.95</v>
      </c>
      <c r="C11" s="7" t="n">
        <v>35358.59</v>
      </c>
      <c r="D11" s="7" t="n">
        <v>53073.96</v>
      </c>
      <c r="E11" s="8" t="inlineStr">
        <is>
          <t>Coût du financement par avances marchandes. Frais financiers totaux FY2026 : 87 247 $.</t>
        </is>
      </c>
    </row>
    <row r="12" ht="30" customHeight="1">
      <c r="A12" s="5" t="inlineStr">
        <is>
          <t>Ventes Shopify USA (nettes)</t>
        </is>
      </c>
      <c r="B12" s="7" t="n">
        <v>7185.17</v>
      </c>
      <c r="C12" s="7" t="n">
        <v>212135.35</v>
      </c>
      <c r="D12" s="7" t="n">
        <v>86089.92999999999</v>
      </c>
      <c r="E12" s="8" t="inlineStr">
        <is>
          <t>Chute de 59 % : preuve documentée de l'impact tarifaire. Malheureusement inutilisable, faute du seuil de revenus de l'IRRT.</t>
        </is>
      </c>
    </row>
    <row r="13" ht="30" customHeight="1">
      <c r="A13" s="5" t="inlineStr">
        <is>
          <t>Résultat de l'exercice</t>
        </is>
      </c>
      <c r="B13" s="7" t="n">
        <v>-18401.4</v>
      </c>
      <c r="C13" s="7" t="n">
        <v>4203.66</v>
      </c>
      <c r="D13" s="7" t="n">
        <v>-142744.79</v>
      </c>
      <c r="E13" s="8" t="inlineStr">
        <is>
          <t>Une perte bloque tout critère de « capacité financière à mener le projet à terme » et toute analyse de crédit.</t>
        </is>
      </c>
    </row>
    <row r="15">
      <c r="A15" s="19" t="inlineStr">
        <is>
          <t>BILAN AU 5 AOÛT 2026</t>
        </is>
      </c>
    </row>
    <row r="16">
      <c r="A16" s="20" t="inlineStr">
        <is>
          <t>Poste</t>
        </is>
      </c>
      <c r="B16" s="20" t="inlineStr">
        <is>
          <t>Montant</t>
        </is>
      </c>
      <c r="E16" s="20" t="inlineStr">
        <is>
          <t>Conséquence</t>
        </is>
      </c>
    </row>
    <row r="17" ht="28" customHeight="1">
      <c r="A17" s="21" t="inlineStr">
        <is>
          <t>Trésorerie</t>
        </is>
      </c>
      <c r="B17" s="22" t="n">
        <v>-2059.89</v>
      </c>
      <c r="E17" s="8" t="inlineStr">
        <is>
          <t>Compte chèques à -8 411 $, PayPal 6 346 $. Aucune capacité d'avancer une mise de fonds.</t>
        </is>
      </c>
    </row>
    <row r="18" ht="28" customHeight="1">
      <c r="A18" s="21" t="inlineStr">
        <is>
          <t>Inventaires</t>
        </is>
      </c>
      <c r="B18" s="22" t="n">
        <v>286840.01</v>
      </c>
      <c r="E18" s="8" t="inlineStr">
        <is>
          <t>Matières 136 350 $, en cours 18 897 $, produits finis 131 594 $. Le fonds de roulement positif est entièrement immobilisé là.</t>
        </is>
      </c>
    </row>
    <row r="19" ht="28" customHeight="1">
      <c r="A19" s="21" t="inlineStr">
        <is>
          <t>Total des actifs</t>
        </is>
      </c>
      <c r="B19" s="22" t="n">
        <v>414753.42</v>
      </c>
      <c r="E19" s="8" t="inlineStr"/>
    </row>
    <row r="20" ht="28" customHeight="1">
      <c r="A20" s="21" t="inlineStr">
        <is>
          <t>Marge de crédit EDC utilisée</t>
        </is>
      </c>
      <c r="B20" s="22" t="n">
        <v>142241.9</v>
      </c>
      <c r="E20" s="8" t="inlineStr">
        <is>
          <t>Sur une limite de 150 000 $, soit 94,8 %. Aucune marge de manœuvre restante.</t>
        </is>
      </c>
    </row>
    <row r="21" ht="28" customHeight="1">
      <c r="A21" s="21" t="inlineStr">
        <is>
          <t>Dette portant intérêt</t>
        </is>
      </c>
      <c r="B21" s="22" t="n">
        <v>584320.3199999999</v>
      </c>
      <c r="E21" s="8" t="inlineStr">
        <is>
          <t>EDC 142 242 $, Shopify Capital 186 419 $, Merchant Growth 124 446 $, BDC 90 633 $, AccordD 40 581 $.</t>
        </is>
      </c>
    </row>
    <row r="22" ht="28" customHeight="1">
      <c r="A22" s="21" t="inlineStr">
        <is>
          <t>Total des obligations</t>
        </is>
      </c>
      <c r="B22" s="22" t="n">
        <v>668787.98</v>
      </c>
      <c r="E22" s="8" t="inlineStr"/>
    </row>
    <row r="23" ht="28" customHeight="1">
      <c r="A23" s="21" t="inlineStr">
        <is>
          <t>Capitaux propres</t>
        </is>
      </c>
      <c r="B23" s="22" t="n">
        <v>-254034.56</v>
      </c>
      <c r="E23" s="8" t="inlineStr">
        <is>
          <t>Déficit accumulé. Bloque toute analyse de crédit chez IQ, BDC et DEC pour un prêt significatif.</t>
        </is>
      </c>
    </row>
    <row r="24" ht="28" customHeight="1">
      <c r="A24" s="21" t="inlineStr">
        <is>
          <t>Immobilisations nettes</t>
        </is>
      </c>
      <c r="B24" s="22" t="n">
        <v>128847.96</v>
      </c>
      <c r="E24" s="8" t="inlineStr">
        <is>
          <t>Équipements 135 851 $ au coût. Assiette potentielle du crédit C3i.</t>
        </is>
      </c>
    </row>
    <row r="26">
      <c r="A26" s="23" t="inlineStr">
        <is>
          <t>Source : QuickBooks Online, Les Produits Lasclay Inc, rapports ProfitAndLoss et BalanceSheet, méthode d'exercice, extraits le 5 août 2026 via le Finance Proxy.</t>
        </is>
      </c>
    </row>
  </sheetData>
  <mergeCells count="3">
    <mergeCell ref="A2:E2"/>
    <mergeCell ref="A1:E1"/>
    <mergeCell ref="A26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66" customWidth="1" min="2" max="2"/>
    <col width="70" customWidth="1" min="3" max="3"/>
    <col width="14" customWidth="1" min="4" max="4"/>
  </cols>
  <sheetData>
    <row r="1" ht="24" customHeight="1">
      <c r="A1" s="1" t="inlineStr">
        <is>
          <t>Sources vérifiées</t>
        </is>
      </c>
    </row>
    <row r="2" ht="16" customHeight="1">
      <c r="A2" s="2" t="inlineStr">
        <is>
          <t>Chaque verdict du plan s'appuie sur un critère publié, pas sur une estimation.</t>
        </is>
      </c>
    </row>
    <row r="4" ht="32" customHeight="1">
      <c r="A4" s="3" t="inlineStr">
        <is>
          <t>Source</t>
        </is>
      </c>
      <c r="B4" s="3" t="inlineStr">
        <is>
          <t>Ce qu'elle a servi à établir</t>
        </is>
      </c>
      <c r="C4" s="3" t="inlineStr">
        <is>
          <t>Lien</t>
        </is>
      </c>
      <c r="D4" s="3" t="inlineStr">
        <is>
          <t>Vérifié le</t>
        </is>
      </c>
    </row>
    <row r="5" ht="30" customHeight="1">
      <c r="A5" s="5" t="inlineStr">
        <is>
          <t>Innoveici — répertoire des ressources d'aide</t>
        </is>
      </c>
      <c r="B5" s="8" t="inlineStr">
        <is>
          <t>Univers de départ : 208 programmes de financement extraits par l'API du site, dont 88 fermés.</t>
        </is>
      </c>
      <c r="C5" s="9" t="inlineStr">
        <is>
          <t>https://innoveici.quebec/repertoire-des-ressources-daide/</t>
        </is>
      </c>
      <c r="D5" s="5" t="inlineStr">
        <is>
          <t>2026-08-05</t>
        </is>
      </c>
    </row>
    <row r="6" ht="30" customHeight="1">
      <c r="A6" s="5" t="inlineStr">
        <is>
          <t>DEC — Initiative régionale de réponse tarifaire</t>
        </is>
      </c>
      <c r="B6" s="8" t="inlineStr">
        <is>
          <t>Seuil de 2 M$ de chiffre d'affaires et rejet automatique. Motif d'exclusion.</t>
        </is>
      </c>
      <c r="C6" s="9" t="inlineStr">
        <is>
          <t>https://www.canada.ca/fr/developpement-economique-regions-quebec/financement-services/initiative-regionale-de-reponse-tarifaire.html</t>
        </is>
      </c>
      <c r="D6" s="5" t="inlineStr">
        <is>
          <t>2026-08-05</t>
        </is>
      </c>
    </row>
    <row r="7" ht="30" customHeight="1">
      <c r="A7" s="5" t="inlineStr">
        <is>
          <t>DEC — Expansion des entreprises et productivité</t>
        </is>
      </c>
      <c r="B7" s="8" t="inlineStr">
        <is>
          <t>Secteurs admissibles et exclusion explicite du commerce de détail. Aucun seuil de revenus.</t>
        </is>
      </c>
      <c r="C7" s="9" t="inlineStr">
        <is>
          <t>https://www.canada.ca/fr/developpement-economique-regions-quebec/financement-services/expansion-des-entreprises-et-productivite.html</t>
        </is>
      </c>
      <c r="D7" s="5" t="inlineStr">
        <is>
          <t>2026-08-05</t>
        </is>
      </c>
    </row>
    <row r="8" ht="30" customHeight="1">
      <c r="A8" s="5" t="inlineStr">
        <is>
          <t>Affaires mondiales Canada — CanExport PME 2026-27</t>
        </is>
      </c>
      <c r="B8" s="8" t="inlineStr">
        <is>
          <t>Fenêtre du 4 février au 31 août 2026 et épuisement de l'enveloppe américaine de 3,1 M$.</t>
        </is>
      </c>
      <c r="C8" s="9" t="inlineStr">
        <is>
          <t>https://www.deleguescommerciaux.gc.ca/fr/nos-solutions/soutien-financier-expansion-commerciale-international/canexport-pme/nouveau-2026-2027.html</t>
        </is>
      </c>
      <c r="D8" s="5" t="inlineStr">
        <is>
          <t>2026-08-05</t>
        </is>
      </c>
    </row>
    <row r="9" ht="30" customHeight="1">
      <c r="A9" s="5" t="inlineStr">
        <is>
          <t>Ville de Québec — Capitale-Innovation</t>
        </is>
      </c>
      <c r="B9" s="8" t="inlineStr">
        <is>
          <t>Admissibilité du secteur « Manufacturier, matériaux, transformation industrielle ». Plafonds de 500 k$, 50 % puis 40 %, cumul public 70 %.</t>
        </is>
      </c>
      <c r="C9" s="9" t="inlineStr">
        <is>
          <t>https://www.ville.quebec.qc.ca/gens_affaires/financement/innovation/capitale-innovation.aspx</t>
        </is>
      </c>
      <c r="D9" s="5" t="inlineStr">
        <is>
          <t>2026-08-05</t>
        </is>
      </c>
    </row>
    <row r="10" ht="30" customHeight="1">
      <c r="A10" s="5" t="inlineStr">
        <is>
          <t>FAQDD — Fonds Écoleader</t>
        </is>
      </c>
      <c r="B10" s="8" t="inlineStr">
        <is>
          <t>Fermeture du volet Soutien à l'implantation et création du volet Biodiversité de 5,7 M$, 2026-2028.</t>
        </is>
      </c>
      <c r="C10" s="9" t="inlineStr">
        <is>
          <t>https://faqdd.qc.ca/programmes/fonds-ecoleader-biodiversite/</t>
        </is>
      </c>
      <c r="D10" s="5" t="inlineStr">
        <is>
          <t>2026-08-05</t>
        </is>
      </c>
    </row>
    <row r="11" ht="30" customHeight="1">
      <c r="A11" s="5" t="inlineStr">
        <is>
          <t>Revenu Québec — CRIC</t>
        </is>
      </c>
      <c r="B11" s="8" t="inlineStr">
        <is>
          <t>Remplacement de 8 crédits, taux de 30 % sur le premier 1 M$, exercices ouverts après le 25 mars 2025, non-cumul avec le C3i.</t>
        </is>
      </c>
      <c r="C11" s="9" t="inlineStr">
        <is>
          <t>https://www.revenuquebec.ca/fr/salle-de-presse/nouvelles-fiscales/details/2025-07-09/credit-dimpot-pour-la-r-d-linnovation-et-la-precommercialisation/</t>
        </is>
      </c>
      <c r="D11" s="5" t="inlineStr">
        <is>
          <t>2026-08-05</t>
        </is>
      </c>
    </row>
    <row r="12" ht="30" customHeight="1">
      <c r="A12" s="5" t="inlineStr">
        <is>
          <t>Investissement Québec — FRONTIÈRE</t>
        </is>
      </c>
      <c r="B12" s="8" t="inlineStr">
        <is>
          <t>Seuil de 3 M$ de revenus, exigence de rentabilité, fermeture du dépôt le 31 mars 2026.</t>
        </is>
      </c>
      <c r="C12" s="9" t="inlineStr">
        <is>
          <t>https://investquebec.com/quebec/fr/financement/frontiere.html</t>
        </is>
      </c>
      <c r="D12" s="5" t="inlineStr">
        <is>
          <t>2026-08-05</t>
        </is>
      </c>
    </row>
    <row r="13" ht="30" customHeight="1">
      <c r="A13" s="5" t="inlineStr">
        <is>
          <t>QuickBooks Online — Les Produits Lasclay Inc</t>
        </is>
      </c>
      <c r="B13" s="8" t="inlineStr">
        <is>
          <t>Tous les chiffres opposés aux critères : revenus, résultat, trésorerie, capitaux propres, dette, assiette R-D.</t>
        </is>
      </c>
      <c r="C13" s="5" t="inlineStr">
        <is>
          <t>(accès interne via le Finance Proxy)</t>
        </is>
      </c>
      <c r="D13" s="5" t="inlineStr">
        <is>
          <t>2026-08-05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2026-08-06T02:06:37Z</dcterms:created>
  <dcterms:modified xsi:type="dcterms:W3CDTF">2026-08-06T02:06:37Z</dcterms:modified>
</cp:coreProperties>
</file>