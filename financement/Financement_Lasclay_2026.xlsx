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n priorisé" sheetId="1" state="visible" r:id="rId1"/>
    <sheet name="Écartés" sheetId="2" state="visible" r:id="rId2"/>
    <sheet name="Calendrier 24 mois" sheetId="3" state="visible" r:id="rId3"/>
    <sheet name="Diagnostic QBO" sheetId="4" state="visible" r:id="rId4"/>
    <sheet name="Sources" sheetId="5" state="visible" r:id="rId5"/>
    <sheet name="Concours et bourses" sheetId="6" state="visible" r:id="rId6"/>
  </sheets>
  <definedNames>
    <definedName name="_xlnm._FilterDatabase" localSheetId="0" hidden="1">'Plan priorisé'!$A$4:$Q$40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Arial"/>
      <b val="1"/>
      <color rgb="001F3826"/>
      <sz val="14"/>
    </font>
    <font>
      <name val="Arial"/>
      <i val="1"/>
      <color rgb="005A6152"/>
      <sz val="9"/>
    </font>
    <font>
      <name val="Arial"/>
      <b val="1"/>
      <color rgb="00FFFFFF"/>
      <sz val="9"/>
    </font>
    <font>
      <name val="Arial"/>
      <sz val="9"/>
    </font>
    <font>
      <name val="Arial"/>
      <b val="1"/>
      <sz val="9"/>
    </font>
    <font>
      <name val="Arial"/>
      <color rgb="000563C1"/>
      <sz val="8"/>
    </font>
    <font>
      <name val="Arial"/>
      <b val="1"/>
      <color rgb="001F3826"/>
      <sz val="9"/>
    </font>
    <font>
      <name val="Arial"/>
      <color rgb="004A5044"/>
      <sz val="8"/>
    </font>
    <font>
      <name val="Arial"/>
      <b val="1"/>
      <color rgb="001F3826"/>
      <sz val="10"/>
    </font>
    <font>
      <name val="Arial"/>
      <i val="1"/>
      <color rgb="005A6152"/>
      <sz val="8"/>
    </font>
  </fonts>
  <fills count="8">
    <fill>
      <patternFill/>
    </fill>
    <fill>
      <patternFill patternType="gray125"/>
    </fill>
    <fill>
      <patternFill patternType="solid">
        <fgColor rgb="001F3826"/>
      </patternFill>
    </fill>
    <fill>
      <patternFill patternType="solid">
        <fgColor rgb="00DCE9D5"/>
      </patternFill>
    </fill>
    <fill>
      <patternFill patternType="solid">
        <fgColor rgb="00FDF3D8"/>
      </patternFill>
    </fill>
    <fill>
      <patternFill patternType="solid">
        <fgColor rgb="00EDEDED"/>
      </patternFill>
    </fill>
    <fill>
      <patternFill patternType="solid">
        <fgColor rgb="00E8ECE4"/>
      </patternFill>
    </fill>
    <fill>
      <patternFill patternType="solid">
        <fgColor rgb="00FFFF00"/>
      </patternFill>
    </fill>
  </fills>
  <borders count="2">
    <border>
      <left/>
      <right/>
      <top/>
      <bottom/>
      <diagonal/>
    </border>
    <border>
      <left style="thin">
        <color rgb="00BFC5B8"/>
      </left>
      <right style="thin">
        <color rgb="00BFC5B8"/>
      </right>
      <top style="thin">
        <color rgb="00BFC5B8"/>
      </top>
      <bottom style="thin">
        <color rgb="00BFC5B8"/>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vertical="top"/>
    </xf>
    <xf numFmtId="0" fontId="5" fillId="3" borderId="1" applyAlignment="1" pivotButton="0" quotePrefix="0" xfId="0">
      <alignment horizontal="center" vertical="top"/>
    </xf>
    <xf numFmtId="164" fontId="4" fillId="0" borderId="1" applyAlignment="1" pivotButton="0" quotePrefix="0" xfId="0">
      <alignment horizontal="right" vertical="top"/>
    </xf>
    <xf numFmtId="0" fontId="4" fillId="0" borderId="1" applyAlignment="1" pivotButton="0" quotePrefix="0" xfId="0">
      <alignment vertical="top" wrapText="1"/>
    </xf>
    <xf numFmtId="0" fontId="6" fillId="0" borderId="1" applyAlignment="1" pivotButton="0" quotePrefix="0" xfId="0">
      <alignment vertical="top"/>
    </xf>
    <xf numFmtId="0" fontId="5" fillId="4" borderId="1" applyAlignment="1" pivotButton="0" quotePrefix="0" xfId="0">
      <alignment horizontal="center" vertical="top"/>
    </xf>
    <xf numFmtId="0" fontId="5" fillId="5" borderId="1" applyAlignment="1" pivotButton="0" quotePrefix="0" xfId="0">
      <alignment horizontal="center" vertical="top"/>
    </xf>
    <xf numFmtId="0" fontId="5" fillId="0" borderId="0" pivotButton="0" quotePrefix="0" xfId="0"/>
    <xf numFmtId="164" fontId="5" fillId="6" borderId="1" pivotButton="0" quotePrefix="0" xfId="0"/>
    <xf numFmtId="0" fontId="7" fillId="0" borderId="0" pivotButton="0" quotePrefix="0" xfId="0"/>
    <xf numFmtId="0" fontId="8" fillId="0" borderId="0" applyAlignment="1" pivotButton="0" quotePrefix="0" xfId="0">
      <alignment vertical="top" wrapText="1"/>
    </xf>
    <xf numFmtId="0" fontId="5" fillId="4" borderId="1" applyAlignment="1" pivotButton="0" quotePrefix="0" xfId="0">
      <alignment vertical="top" wrapText="1"/>
    </xf>
    <xf numFmtId="0" fontId="5" fillId="7" borderId="1" applyAlignment="1" pivotButton="0" quotePrefix="0" xfId="0">
      <alignment vertical="top" wrapText="1"/>
    </xf>
    <xf numFmtId="165" fontId="5" fillId="0" borderId="1" applyAlignment="1" pivotButton="0" quotePrefix="0" xfId="0">
      <alignment horizontal="right" vertical="top"/>
    </xf>
    <xf numFmtId="0" fontId="9" fillId="0" borderId="0" pivotButton="0" quotePrefix="0" xfId="0"/>
    <xf numFmtId="0" fontId="3" fillId="2" borderId="0" pivotButton="0" quotePrefix="0" xfId="0"/>
    <xf numFmtId="0" fontId="4" fillId="0" borderId="1" pivotButton="0" quotePrefix="0" xfId="0"/>
    <xf numFmtId="164" fontId="5" fillId="0" borderId="1" applyAlignment="1" pivotButton="0" quotePrefix="0" xfId="0">
      <alignment horizontal="right"/>
    </xf>
    <xf numFmtId="0" fontId="10" fillId="0" borderId="0" pivotButton="0" quotePrefix="0" xfId="0"/>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4"/>
  <sheetViews>
    <sheetView showGridLines="0" workbookViewId="0">
      <pane ySplit="4" topLeftCell="A5" activePane="bottomLeft" state="frozen"/>
      <selection pane="bottomLeft" activeCell="A1" sqref="A1"/>
    </sheetView>
  </sheetViews>
  <sheetFormatPr baseColWidth="8" defaultRowHeight="15"/>
  <cols>
    <col width="6" customWidth="1" min="1" max="1"/>
    <col width="38" customWidth="1" min="2" max="2"/>
    <col width="26" customWidth="1" min="3" max="3"/>
    <col width="11" customWidth="1" min="4" max="4"/>
    <col width="15" customWidth="1" min="5" max="5"/>
    <col width="24" customWidth="1" min="6" max="6"/>
    <col width="14" customWidth="1" min="7" max="7"/>
    <col width="13" customWidth="1" min="8" max="8"/>
    <col width="13" customWidth="1" min="9" max="9"/>
    <col width="22" customWidth="1" min="10" max="10"/>
    <col width="26" customWidth="1" min="11" max="11"/>
    <col width="34" customWidth="1" min="12" max="12"/>
    <col width="14" customWidth="1" min="13" max="13"/>
    <col width="9" customWidth="1" min="14" max="14"/>
    <col width="58" customWidth="1" min="15" max="15"/>
    <col width="64" customWidth="1" min="16" max="16"/>
    <col width="46" customWidth="1" min="17" max="17"/>
  </cols>
  <sheetData>
    <row r="1" ht="24" customHeight="1">
      <c r="A1" s="1" t="inlineStr">
        <is>
          <t>Financement public — plan priorisé pour Les Produits Lasclay Inc</t>
        </is>
      </c>
    </row>
    <row r="2" ht="16" customHeight="1">
      <c r="A2" s="2" t="inlineStr">
        <is>
          <t>Priorité = certitude d'admissibilité × argent net × absence de mise de fonds. Verdicts validés contre les données QuickBooks au 5 août 2026 (voir onglet Diagnostic QBO).</t>
        </is>
      </c>
    </row>
    <row r="4" ht="32" customHeight="1">
      <c r="A4" s="3" t="inlineStr">
        <is>
          <t>Rang</t>
        </is>
      </c>
      <c r="B4" s="3" t="inlineStr">
        <is>
          <t>Programme</t>
        </is>
      </c>
      <c r="C4" s="3" t="inlineStr">
        <is>
          <t>Organisme</t>
        </is>
      </c>
      <c r="D4" s="3" t="inlineStr">
        <is>
          <t>Palier</t>
        </is>
      </c>
      <c r="E4" s="3" t="inlineStr">
        <is>
          <t>Pilier</t>
        </is>
      </c>
      <c r="F4" s="3" t="inlineStr">
        <is>
          <t>Type d'aide</t>
        </is>
      </c>
      <c r="G4" s="3" t="inlineStr">
        <is>
          <t>Verdict</t>
        </is>
      </c>
      <c r="H4" s="3" t="inlineStr">
        <is>
          <t>Montant min ($)</t>
        </is>
      </c>
      <c r="I4" s="3" t="inlineStr">
        <is>
          <t>Montant max ($)</t>
        </is>
      </c>
      <c r="J4" s="3" t="inlineStr">
        <is>
          <t>Mise de fonds requise</t>
        </is>
      </c>
      <c r="K4" s="3" t="inlineStr">
        <is>
          <t>Statut au 5 août 2026</t>
        </is>
      </c>
      <c r="L4" s="3" t="inlineStr">
        <is>
          <t>Prochaine fenêtre / date clé</t>
        </is>
      </c>
      <c r="M4" s="3" t="inlineStr">
        <is>
          <t>Trimestre cible</t>
        </is>
      </c>
      <c r="N4" s="3" t="inlineStr">
        <is>
          <t>Effort</t>
        </is>
      </c>
      <c r="O4" s="3" t="inlineStr">
        <is>
          <t>Motif du verdict (validé)</t>
        </is>
      </c>
      <c r="P4" s="3" t="inlineStr">
        <is>
          <t>Angle Lasclay</t>
        </is>
      </c>
      <c r="Q4" s="3" t="inlineStr">
        <is>
          <t>Lien</t>
        </is>
      </c>
    </row>
    <row r="5" ht="58" customHeight="1">
      <c r="A5" s="4" t="n">
        <v>1</v>
      </c>
      <c r="B5" s="5" t="inlineStr">
        <is>
          <t>RS&amp;DE — encouragements fiscaux à la R-D</t>
        </is>
      </c>
      <c r="C5" s="5" t="inlineStr">
        <is>
          <t>ARC (Agence du revenu du Canada)</t>
        </is>
      </c>
      <c r="D5" s="5" t="inlineStr">
        <is>
          <t>Fédéral</t>
        </is>
      </c>
      <c r="E5" s="5" t="inlineStr">
        <is>
          <t>R&amp;D</t>
        </is>
      </c>
      <c r="F5" s="5" t="inlineStr">
        <is>
          <t>Crédit d'impôt remboursable</t>
        </is>
      </c>
      <c r="G5" s="6" t="inlineStr">
        <is>
          <t>Admissible</t>
        </is>
      </c>
      <c r="H5" s="7" t="n">
        <v>30000</v>
      </c>
      <c r="I5" s="7" t="n">
        <v>45000</v>
      </c>
      <c r="J5" s="5" t="inlineStr">
        <is>
          <t>Aucune</t>
        </is>
      </c>
      <c r="K5" s="5" t="inlineStr">
        <is>
          <t>Ouvert en continu</t>
        </is>
      </c>
      <c r="L5" s="5" t="inlineStr">
        <is>
          <t>Limites FERMES : 28 fév 2027 (FY25), 28 fév 2028 (FY26)</t>
        </is>
      </c>
      <c r="M5" s="5" t="inlineStr">
        <is>
          <t>FY27 T1</t>
        </is>
      </c>
      <c r="N5" s="5" t="inlineStr">
        <is>
          <t>Moyen</t>
        </is>
      </c>
      <c r="O5" s="8" t="inlineStr">
        <is>
          <t>103 364 $ de salaires portés au compte 6061 RSDE en FY2026, plus 7 112 $ de matériaux. SPCC : 35 % remboursable en argent.</t>
        </is>
      </c>
      <c r="P5" s="8" t="inlineStr">
        <is>
          <t>Argent comptant sur des salaires déjà payés, sans mise de fonds. Première action : confirmer avec le comptable si la réclamation FY2025 a été produite.</t>
        </is>
      </c>
      <c r="Q5" s="9" t="inlineStr">
        <is>
          <t>https://www.canada.ca/fr/agence-revenu/services/impot/entreprises/sujets/recherche-scientifique-developpement-experimental-programme-encouragements-fiscaux.html</t>
        </is>
      </c>
    </row>
    <row r="6" ht="58" customHeight="1">
      <c r="A6" s="4" t="n">
        <v>2</v>
      </c>
      <c r="B6" s="5" t="inlineStr">
        <is>
          <t>CRIC — R-D, innovation et précommercialisation</t>
        </is>
      </c>
      <c r="C6" s="5" t="inlineStr">
        <is>
          <t>Revenu Québec</t>
        </is>
      </c>
      <c r="D6" s="5" t="inlineStr">
        <is>
          <t>Québec</t>
        </is>
      </c>
      <c r="E6" s="5" t="inlineStr">
        <is>
          <t>R&amp;D</t>
        </is>
      </c>
      <c r="F6" s="5" t="inlineStr">
        <is>
          <t>Crédit d'impôt remboursable</t>
        </is>
      </c>
      <c r="G6" s="6" t="inlineStr">
        <is>
          <t>Admissible</t>
        </is>
      </c>
      <c r="H6" s="7" t="n">
        <v>15000</v>
      </c>
      <c r="I6" s="7" t="n">
        <v>25000</v>
      </c>
      <c r="J6" s="5" t="inlineStr">
        <is>
          <t>Aucune</t>
        </is>
      </c>
      <c r="K6" s="5" t="inlineStr">
        <is>
          <t>En vigueur (exercices ouverts après le 25 mars 2025)</t>
        </is>
      </c>
      <c r="L6" s="5" t="inlineStr">
        <is>
          <t>Avec la déclaration fiscale annuelle</t>
        </is>
      </c>
      <c r="M6" s="5" t="inlineStr">
        <is>
          <t>FY27 T1</t>
        </is>
      </c>
      <c r="N6" s="5" t="inlineStr">
        <is>
          <t>Moyen</t>
        </is>
      </c>
      <c r="O6" s="8" t="inlineStr">
        <is>
          <t>Remplace 8 anciens crédits québécois. 30 % sur le premier 1 M$ de dépenses admissibles. S'applique déjà à FY2026.</t>
        </is>
      </c>
      <c r="P6" s="8" t="inlineStr">
        <is>
          <t>Se réclame en tandem avec la RS&amp;DE fédérale. L'aide provinciale réduit l'assiette fédérale : faire modéliser le combiné, ne pas additionner naïvement.</t>
        </is>
      </c>
      <c r="Q6" s="9" t="inlineStr">
        <is>
          <t>https://www.revenuquebec.ca/fr/entreprises/impots/impot-des-societes/credits-dimpot-des-societes/</t>
        </is>
      </c>
    </row>
    <row r="7" ht="58" customHeight="1">
      <c r="A7" s="4" t="n">
        <v>3</v>
      </c>
      <c r="B7" s="5" t="inlineStr">
        <is>
          <t>PARI-CNRC</t>
        </is>
      </c>
      <c r="C7" s="5" t="inlineStr">
        <is>
          <t>Conseil national de recherches Canada</t>
        </is>
      </c>
      <c r="D7" s="5" t="inlineStr">
        <is>
          <t>Fédéral</t>
        </is>
      </c>
      <c r="E7" s="5" t="inlineStr">
        <is>
          <t>R&amp;D</t>
        </is>
      </c>
      <c r="F7" s="5" t="inlineStr">
        <is>
          <t>Contribution non remboursable</t>
        </is>
      </c>
      <c r="G7" s="6" t="inlineStr">
        <is>
          <t>Admissible</t>
        </is>
      </c>
      <c r="H7" s="7" t="n">
        <v>20000</v>
      </c>
      <c r="I7" s="7" t="n">
        <v>150000</v>
      </c>
      <c r="J7" s="5" t="inlineStr">
        <is>
          <t>20 % des salaires</t>
        </is>
      </c>
      <c r="K7" s="5" t="inlineStr">
        <is>
          <t>Ouvert en continu</t>
        </is>
      </c>
      <c r="L7" s="5" t="inlineStr">
        <is>
          <t>Demander un conseiller CTI dès maintenant</t>
        </is>
      </c>
      <c r="M7" s="5" t="inlineStr">
        <is>
          <t>FY27 T1</t>
        </is>
      </c>
      <c r="N7" s="5" t="inlineStr">
        <is>
          <t>Moyen</t>
        </is>
      </c>
      <c r="O7" s="8" t="inlineStr">
        <is>
          <t>PME canadienne de moins de 500 employés développant un produit ou procédé novateur. 80 % des salaires, 50 % des sous-traitants.</t>
        </is>
      </c>
      <c r="P7" s="8" t="inlineStr">
        <is>
          <t>Matelassage d'une fibre volatile, inserts amovibles, gants isolés : projets défendables. ATTENTION : une contribution PARI réduit l'assiette RS&amp;DE sur les mêmes dollars.</t>
        </is>
      </c>
      <c r="Q7" s="9" t="inlineStr">
        <is>
          <t>https://nrc.canada.ca/fr/soutien-linnovation-technologique/propos-programme-daide-recherche-industrielle-cnrc</t>
        </is>
      </c>
    </row>
    <row r="8" ht="58" customHeight="1">
      <c r="A8" s="4" t="n">
        <v>4</v>
      </c>
      <c r="B8" s="5" t="inlineStr">
        <is>
          <t>TELUS #AidonsNosPME — 5e édition</t>
        </is>
      </c>
      <c r="C8" s="5" t="inlineStr">
        <is>
          <t>TELUS Affaires</t>
        </is>
      </c>
      <c r="D8" s="5" t="inlineStr">
        <is>
          <t>Fédéral (privé)</t>
        </is>
      </c>
      <c r="E8" s="5" t="inlineStr">
        <is>
          <t>Mission et ventes</t>
        </is>
      </c>
      <c r="F8" s="5" t="inlineStr">
        <is>
          <t>Concours — bourse non remboursable</t>
        </is>
      </c>
      <c r="G8" s="6" t="inlineStr">
        <is>
          <t>Admissible</t>
        </is>
      </c>
      <c r="H8" s="7" t="n">
        <v>10000</v>
      </c>
      <c r="I8" s="7" t="n">
        <v>125000</v>
      </c>
      <c r="J8" s="5" t="inlineStr">
        <is>
          <t>Aucune</t>
        </is>
      </c>
      <c r="K8" s="5" t="inlineStr">
        <is>
          <t>OUVERT — ferme le 2 septembre 2026 à 23 h 59</t>
        </is>
      </c>
      <c r="L8" s="5" t="inlineStr">
        <is>
          <t>Dépôt d'ici le 2 septembre 2026. Lauréats annoncés vers le 24 septembre.</t>
        </is>
      </c>
      <c r="M8" s="5" t="inlineStr">
        <is>
          <t>FY2026 — CE MOIS-CI</t>
        </is>
      </c>
      <c r="N8" s="5" t="inlineStr">
        <is>
          <t>Faible</t>
        </is>
      </c>
      <c r="O8" s="8" t="inlineStr">
        <is>
          <t>Entreprise canadienne en activité, légalement enregistrée, générant des revenus, 100 employés ou moins. Rempli. Édition 2026 : 3 grands prix jusqu'à 125 000 $, 6 prix communautaires de 10 000 $, 1 prix du public de 25 000 $ par vote. Plus de 1 M$ au total. Aucune clause excluant les anciens lauréats dans le règlement consulté — à faire confirmer par TELUS.</t>
        </is>
      </c>
      <c r="P8" s="8" t="inlineStr">
        <is>
          <t>LE SEUL ARGENT SUR LA TABLE CE MOIS-CI. Lasclay a déjà gagné une édition : le dossier existe, le récit convainc ce jury, et l'effort de redéposer est faible. C'est une loterie — une dizaine de gagnants pour des milliers de candidatures — mais une loterie à coût quasi nul, sans mise de fonds, avec un prix du public qui récompense une communauté engagée. C'est exactement l'actif de Lasclay.</t>
        </is>
      </c>
      <c r="Q8" s="9" t="inlineStr">
        <is>
          <t>https://www.telus.com/fr/business/small/campaigns/stand-with-owners</t>
        </is>
      </c>
    </row>
    <row r="9" ht="58" customHeight="1">
      <c r="A9" s="4" t="n">
        <v>5</v>
      </c>
      <c r="B9" s="5" t="inlineStr">
        <is>
          <t>CanExport PME</t>
        </is>
      </c>
      <c r="C9" s="5" t="inlineStr">
        <is>
          <t>Affaires mondiales Canada</t>
        </is>
      </c>
      <c r="D9" s="5" t="inlineStr">
        <is>
          <t>Fédéral</t>
        </is>
      </c>
      <c r="E9" s="5" t="inlineStr">
        <is>
          <t>International</t>
        </is>
      </c>
      <c r="F9" s="5" t="inlineStr">
        <is>
          <t>Subvention</t>
        </is>
      </c>
      <c r="G9" s="6" t="inlineStr">
        <is>
          <t>Admissible</t>
        </is>
      </c>
      <c r="H9" s="7" t="n">
        <v>10000</v>
      </c>
      <c r="I9" s="7" t="n">
        <v>50000</v>
      </c>
      <c r="J9" s="5" t="inlineStr">
        <is>
          <t>50 %</t>
        </is>
      </c>
      <c r="K9" s="5" t="inlineStr">
        <is>
          <t>Ouvert jusqu'au 31 août 2026, 12 h</t>
        </is>
      </c>
      <c r="L9" s="5" t="inlineStr">
        <is>
          <t>Rouvre vers le 4 février 2027 pour l'exercice 2027-28</t>
        </is>
      </c>
      <c r="M9" s="5" t="inlineStr">
        <is>
          <t>FY27 T2</t>
        </is>
      </c>
      <c r="N9" s="5" t="inlineStr">
        <is>
          <t>Moyen</t>
        </is>
      </c>
      <c r="O9" s="8" t="inlineStr">
        <is>
          <t>Enveloppe É.-U. de 3,1 M$ ENTIÈREMENT ALLOUÉE. Cible les marchés où l'entreprise a peu ou pas d'activités. 50 % des coûts, projet de 20 k$ à 100 k$.</t>
        </is>
      </c>
      <c r="P9" s="8" t="inlineStr">
        <is>
          <t>Viser la France, la Belgique et les pays nordiques, où le récit du monarque se transpose. Pas les États-Unis. Bâtir le dossier d'ici février plutôt que d'improviser en 26 jours.</t>
        </is>
      </c>
      <c r="Q9" s="9" t="inlineStr">
        <is>
          <t>https://www.deleguescommerciaux.gc.ca/fr/nos-solutions/soutien-financier-expansion-commerciale-international/canexport-pme/nouveau-2026-2027.html</t>
        </is>
      </c>
    </row>
    <row r="10" ht="58" customHeight="1">
      <c r="A10" s="4" t="n">
        <v>6</v>
      </c>
      <c r="B10" s="5" t="inlineStr">
        <is>
          <t>Prêt d'honneur IQPH</t>
        </is>
      </c>
      <c r="C10" s="5" t="inlineStr">
        <is>
          <t>Initiative Québec Prêt d'Honneur</t>
        </is>
      </c>
      <c r="D10" s="5" t="inlineStr">
        <is>
          <t>Québec (Capitale-Nationale)</t>
        </is>
      </c>
      <c r="E10" s="5" t="inlineStr">
        <is>
          <t>Mission et ventes</t>
        </is>
      </c>
      <c r="F10" s="5" t="inlineStr">
        <is>
          <t>Prêt SANS INTÉRÊT ni garantie</t>
        </is>
      </c>
      <c r="G10" s="10" t="inlineStr">
        <is>
          <t>À valider</t>
        </is>
      </c>
      <c r="H10" s="7" t="n">
        <v>15000</v>
      </c>
      <c r="I10" s="7" t="n">
        <v>30000</v>
      </c>
      <c r="J10" s="5" t="inlineStr">
        <is>
          <t>Aucune</t>
        </is>
      </c>
      <c r="K10" s="5" t="inlineStr">
        <is>
          <t>Ouvert — dépôt en continu</t>
        </is>
      </c>
      <c r="L10" s="5" t="inlineStr">
        <is>
          <t>Envoi des documents à candidature@iqph.org</t>
        </is>
      </c>
      <c r="M10" s="5" t="inlineStr">
        <is>
          <t>FY27 T1</t>
        </is>
      </c>
      <c r="N10" s="5" t="inlineStr">
        <is>
          <t>Moyen</t>
        </is>
      </c>
      <c r="O10" s="8" t="inlineStr">
        <is>
          <t>Territoire pilote : agglomération de Québec — rempli. Phases admissibles : démarrage, CROISSANCE et repreneuriat. Prêt sans intérêt, sans frais de dossier et sans garantie personnelle. Sélection à deux niveaux : qualités entrepreneuriales et projet, puis productivité, innovation, commercialisation et développement durable. Montant fixé au cas par cas par le comité d'approbation — non publié.</t>
        </is>
      </c>
      <c r="P10" s="8" t="inlineStr">
        <is>
          <t>Aucune mise de fonds et zéro intérêt : c'est le seul financement de la liste qui attaque directement les 53 074 $ d'intérêts. Organisme en phase pilote (objectif : 48 entreprises sur 6 ans) qui cherche des dossiers vitrines — la notoriété de Lasclay joue pour. DEUX RÉSERVES : le prêt vise à renforcer les fonds propres pour lever du financement institutionnel, or ils sont à -254 035 $, ce qui est autant l'argument que le risque devant le comité ; et l'accompagnement par un mentor est obligatoire pendant toute la durée du contrat. À CLARIFIER AVEC EUX : le prêt est-il consenti à l'entreprise ou à l'entrepreneur personnellement ?</t>
        </is>
      </c>
      <c r="Q10" s="9" t="inlineStr">
        <is>
          <t>https://www.iqph.org/</t>
        </is>
      </c>
    </row>
    <row r="11" ht="58" customHeight="1">
      <c r="A11" s="4" t="n">
        <v>7</v>
      </c>
      <c r="B11" s="5" t="inlineStr">
        <is>
          <t>Fonds Écoleader — Biodiversité</t>
        </is>
      </c>
      <c r="C11" s="5" t="inlineStr">
        <is>
          <t>FAQDD / MELCCFP</t>
        </is>
      </c>
      <c r="D11" s="5" t="inlineStr">
        <is>
          <t>Québec</t>
        </is>
      </c>
      <c r="E11" s="5" t="inlineStr">
        <is>
          <t>Mission</t>
        </is>
      </c>
      <c r="F11" s="5" t="inlineStr">
        <is>
          <t>Contribution non remboursable</t>
        </is>
      </c>
      <c r="G11" s="10" t="inlineStr">
        <is>
          <t>À valider</t>
        </is>
      </c>
      <c r="H11" s="7" t="n">
        <v>10000</v>
      </c>
      <c r="I11" s="7" t="n">
        <v>40000</v>
      </c>
      <c r="J11" s="5" t="inlineStr">
        <is>
          <t>Environ 25 %</t>
        </is>
      </c>
      <c r="K11" s="5" t="inlineStr">
        <is>
          <t>Modalités non publiées</t>
        </is>
      </c>
      <c r="L11" s="5" t="inlineStr">
        <is>
          <t>Annoncé pour le printemps 2026, en retard — relancer chaque mois au 418 692-5888</t>
        </is>
      </c>
      <c r="M11" s="5" t="inlineStr">
        <is>
          <t>FY27 T3</t>
        </is>
      </c>
      <c r="N11" s="5" t="inlineStr">
        <is>
          <t>Moyen</t>
        </is>
      </c>
      <c r="O11" s="8" t="inlineStr">
        <is>
          <t>Enveloppe de 5,7 M$, 2026-2028, Plan nature 2030. Entreprises de toutes tailles. Paie des experts pour intégrer la biodiversité.</t>
        </is>
      </c>
      <c r="P11" s="8" t="inlineStr">
        <is>
          <t>Fit exceptionnel : la thèse d'affaires entière de Lasclay est de rendre l'asclépiade viable pour restaurer l'habitat du monarque.</t>
        </is>
      </c>
      <c r="Q11" s="9" t="inlineStr">
        <is>
          <t>https://faqdd.qc.ca/programmes/fonds-ecoleader-biodiversite/</t>
        </is>
      </c>
    </row>
    <row r="12" ht="58" customHeight="1">
      <c r="A12" s="4" t="n">
        <v>8</v>
      </c>
      <c r="B12" s="5" t="inlineStr">
        <is>
          <t>PSCE — Volet 2 : diversification et consolidation hors Québec</t>
        </is>
      </c>
      <c r="C12" s="5" t="inlineStr">
        <is>
          <t>Investissement Québec</t>
        </is>
      </c>
      <c r="D12" s="5" t="inlineStr">
        <is>
          <t>Québec</t>
        </is>
      </c>
      <c r="E12" s="5" t="inlineStr">
        <is>
          <t>International</t>
        </is>
      </c>
      <c r="F12" s="5" t="inlineStr">
        <is>
          <t>Contribution non remboursable</t>
        </is>
      </c>
      <c r="G12" s="11" t="inlineStr">
        <is>
          <t>Reporté</t>
        </is>
      </c>
      <c r="H12" s="7" t="n">
        <v>20000</v>
      </c>
      <c r="I12" s="7" t="n">
        <v>60000</v>
      </c>
      <c r="J12" s="5" t="inlineStr">
        <is>
          <t>25 % du coût total</t>
        </is>
      </c>
      <c r="K12" s="5" t="inlineStr">
        <is>
          <t>N'accepte pas les demandes</t>
        </is>
      </c>
      <c r="L12" s="5" t="inlineStr">
        <is>
          <t>Surveiller la réouverture — vérifier aussi s'il a été remplacé</t>
        </is>
      </c>
      <c r="M12" s="5" t="inlineStr">
        <is>
          <t>FY27-FY28</t>
        </is>
      </c>
      <c r="N12" s="5" t="inlineStr">
        <is>
          <t>Moyen</t>
        </is>
      </c>
      <c r="O12" s="8" t="inlineStr">
        <is>
          <t>SEUIL TOUT JUSTE FRANCHI : le programme exige un chiffre d'affaires supérieur à 1 M$ et inférieur ou égal à 50 M$. FY2025 était à 879 125 $, sous le seuil ; FY2026 clôture à 1 081 908 $, au-dessus. Exige aussi que plus de 40 % de la viabilité repose sur des revenus autonomes — largement rempli.</t>
        </is>
      </c>
      <c r="P12" s="8" t="inlineStr">
        <is>
          <t>60 000 $ par entreprise par année, non remboursable, pour la diversification de marchés hors Québec. Aucune exigence de secteur manufacturier. C'est le meilleur complément à CanExport : le fédéral et le provincial financent le même effort d'export sans se cumuler sur la même dépense. À surveiller activement — le seuil de 1 M$ vient d'être franchi, ce qui rend Lasclay admissible pour la première fois.</t>
        </is>
      </c>
      <c r="Q12" s="9" t="inlineStr">
        <is>
          <t>https://www.investquebec.com/fr/financement/programmes-gouvernementaux/programme-de-soutien-la-commercialisation-et-lexportation/psce-volet-2</t>
        </is>
      </c>
    </row>
    <row r="13" ht="58" customHeight="1">
      <c r="A13" s="4" t="n">
        <v>9</v>
      </c>
      <c r="B13" s="5" t="inlineStr">
        <is>
          <t>PARI — Programme emploi jeunesse</t>
        </is>
      </c>
      <c r="C13" s="5" t="inlineStr">
        <is>
          <t>Conseil national de recherches Canada</t>
        </is>
      </c>
      <c r="D13" s="5" t="inlineStr">
        <is>
          <t>Fédéral</t>
        </is>
      </c>
      <c r="E13" s="5" t="inlineStr">
        <is>
          <t>R&amp;D</t>
        </is>
      </c>
      <c r="F13" s="5" t="inlineStr">
        <is>
          <t>Subvention salariale</t>
        </is>
      </c>
      <c r="G13" s="6" t="inlineStr">
        <is>
          <t>Admissible</t>
        </is>
      </c>
      <c r="H13" s="7" t="n">
        <v>15000</v>
      </c>
      <c r="I13" s="7" t="n">
        <v>30000</v>
      </c>
      <c r="J13" s="5" t="inlineStr">
        <is>
          <t>Part du salaire</t>
        </is>
      </c>
      <c r="K13" s="5" t="inlineStr">
        <is>
          <t>Ouvert</t>
        </is>
      </c>
      <c r="L13" s="5" t="inlineStr">
        <is>
          <t>À déposer avec le dossier PARI principal</t>
        </is>
      </c>
      <c r="M13" s="5" t="inlineStr">
        <is>
          <t>FY27 T1</t>
        </is>
      </c>
      <c r="N13" s="5" t="inlineStr">
        <is>
          <t>Faible</t>
        </is>
      </c>
      <c r="O13" s="8" t="inlineStr">
        <is>
          <t>Diplômé postsecondaire de 15 à 30 ans, 6 à 12 mois, minimum 30 h/semaine. Volets R-D, génie, multimédia ou étude de marché.</t>
        </is>
      </c>
      <c r="P13" s="8" t="inlineStr">
        <is>
          <t>Le volet étude de marché couvre exactement le travail d'expansion américaine par régions réceptives.</t>
        </is>
      </c>
      <c r="Q13" s="9" t="inlineStr">
        <is>
          <t>https://nrc.canada.ca/fr/soutien-linnovation-technologique/largent-pari-cnrc-embaucher-jeunes-diplomes</t>
        </is>
      </c>
    </row>
    <row r="14" ht="58" customHeight="1">
      <c r="A14" s="4" t="n">
        <v>10</v>
      </c>
      <c r="B14" s="5" t="inlineStr">
        <is>
          <t>Mitacs Accélération</t>
        </is>
      </c>
      <c r="C14" s="5" t="inlineStr">
        <is>
          <t>Mitacs + MEIE</t>
        </is>
      </c>
      <c r="D14" s="5" t="inlineStr">
        <is>
          <t>Fédéral et Québec</t>
        </is>
      </c>
      <c r="E14" s="5" t="inlineStr">
        <is>
          <t>R&amp;D</t>
        </is>
      </c>
      <c r="F14" s="5" t="inlineStr">
        <is>
          <t>Subvention</t>
        </is>
      </c>
      <c r="G14" s="6" t="inlineStr">
        <is>
          <t>Admissible</t>
        </is>
      </c>
      <c r="H14" s="7" t="n">
        <v>7500</v>
      </c>
      <c r="I14" s="7" t="n">
        <v>30000</v>
      </c>
      <c r="J14" s="5" t="inlineStr">
        <is>
          <t>Environ 50 %</t>
        </is>
      </c>
      <c r="K14" s="5" t="inlineStr">
        <is>
          <t>Ouvert en continu</t>
        </is>
      </c>
      <c r="L14" s="5" t="inlineStr">
        <is>
          <t>Via un conseiller Mitacs en développement des affaires</t>
        </is>
      </c>
      <c r="M14" s="5" t="inlineStr">
        <is>
          <t>FY27 T3</t>
        </is>
      </c>
      <c r="N14" s="5" t="inlineStr">
        <is>
          <t>Moyen</t>
        </is>
      </c>
      <c r="O14" s="8" t="inlineStr">
        <is>
          <t>Stagiaires universitaires, postdoctoraux et chercheurs intégrés à un projet d'innovation en entreprise. Financement partagé MEIE, entreprise, fédéral.</t>
        </is>
      </c>
      <c r="P14" s="8" t="inlineStr">
        <is>
          <t>Le meilleur véhicule pour faire caractériser la fibre en laboratoire : conductivité thermique du produit fini, tenue à la compression, comportement à l'humidité.</t>
        </is>
      </c>
      <c r="Q14" s="9" t="inlineStr">
        <is>
          <t>https://www.mitacs.ca/fr-ca/</t>
        </is>
      </c>
    </row>
    <row r="15" ht="58" customHeight="1">
      <c r="A15" s="4" t="n">
        <v>11</v>
      </c>
      <c r="B15" s="5" t="inlineStr">
        <is>
          <t>Accès aux talents</t>
        </is>
      </c>
      <c r="C15" s="5" t="inlineStr">
        <is>
          <t>Produits naturels Canada</t>
        </is>
      </c>
      <c r="D15" s="5" t="inlineStr">
        <is>
          <t>Fédéral</t>
        </is>
      </c>
      <c r="E15" s="5" t="inlineStr">
        <is>
          <t>R&amp;D</t>
        </is>
      </c>
      <c r="F15" s="5" t="inlineStr">
        <is>
          <t>Subvention</t>
        </is>
      </c>
      <c r="G15" s="10" t="inlineStr">
        <is>
          <t>À valider</t>
        </is>
      </c>
      <c r="H15" s="7" t="n">
        <v>20000</v>
      </c>
      <c r="I15" s="7" t="n">
        <v>75000</v>
      </c>
      <c r="J15" s="5" t="inlineStr">
        <is>
          <t>60 % du salaire</t>
        </is>
      </c>
      <c r="K15" s="5" t="inlineStr">
        <is>
          <t>Ouvert en continu</t>
        </is>
      </c>
      <c r="L15" s="5" t="inlineStr">
        <is>
          <t>Demande à tout moment</t>
        </is>
      </c>
      <c r="M15" s="5" t="inlineStr">
        <is>
          <t>FY28 T1</t>
        </is>
      </c>
      <c r="N15" s="5" t="inlineStr">
        <is>
          <t>Moyen</t>
        </is>
      </c>
      <c r="O15" s="8" t="inlineStr">
        <is>
          <t>40 % du salaire d'un nouvel employé, maximum 75 000 $. Exige d'être membre de la grappe de l'innovation en produits naturels.</t>
        </is>
      </c>
      <c r="P15" s="8" t="inlineStr">
        <is>
          <t>La définition de PNC — bioproduits et durabilité — couvre l'asclépiade. La collaboration cosmétique autour de l'huile de graine est le candidat naturel.</t>
        </is>
      </c>
      <c r="Q15" s="9" t="inlineStr">
        <is>
          <t>https://www.naturalproductscanada.com/fr/programmes/programme-daccess-aux-talents/</t>
        </is>
      </c>
    </row>
    <row r="16" ht="58" customHeight="1">
      <c r="A16" s="4" t="n">
        <v>12</v>
      </c>
      <c r="B16" s="5" t="inlineStr">
        <is>
          <t>Allonger les périodes d'emploi</t>
        </is>
      </c>
      <c r="C16" s="5" t="inlineStr">
        <is>
          <t>Services Québec (MESS)</t>
        </is>
      </c>
      <c r="D16" s="5" t="inlineStr">
        <is>
          <t>Québec</t>
        </is>
      </c>
      <c r="E16" s="5" t="inlineStr">
        <is>
          <t>Hors piliers</t>
        </is>
      </c>
      <c r="F16" s="5" t="inlineStr">
        <is>
          <t>Subvention salariale</t>
        </is>
      </c>
      <c r="G16" s="6" t="inlineStr">
        <is>
          <t>Admissible</t>
        </is>
      </c>
      <c r="H16" s="7" t="n">
        <v>3000</v>
      </c>
      <c r="I16" s="7" t="n">
        <v>13000</v>
      </c>
      <c r="J16" s="5" t="inlineStr">
        <is>
          <t>50 % du salaire</t>
        </is>
      </c>
      <c r="K16" s="5" t="inlineStr">
        <is>
          <t>Ouvert en continu</t>
        </is>
      </c>
      <c r="L16" s="5" t="inlineStr">
        <is>
          <t>Via un conseiller aux entreprises Services Québec</t>
        </is>
      </c>
      <c r="M16" s="5" t="inlineStr">
        <is>
          <t>FY27 T1</t>
        </is>
      </c>
      <c r="N16" s="5" t="inlineStr">
        <is>
          <t>Faible</t>
        </is>
      </c>
      <c r="O16" s="8" t="inlineStr">
        <is>
          <t>50 % du salaire brut, maximum 6 500 $ par emploi par année. Le projet doit être récurrent et allonger la saison de travail.</t>
        </is>
      </c>
      <c r="P16" s="8" t="inlineStr">
        <is>
          <t>Toujours valable, mais l'argument se déplace : la saisonnalité qui reste à lisser est celle de l'expédition et du service client, pas celle de la production. Le développement de la gamme été demeure le projet de diversification que le programme finance.</t>
        </is>
      </c>
      <c r="Q16" s="9" t="inlineStr">
        <is>
          <t>https://www.quebec.ca/entreprises-et-travailleurs-autonomes/administrer-gerer/embauche-gestion-personnel/aide-gestion-ressources-humaines/allonger-periodes-emploi</t>
        </is>
      </c>
    </row>
    <row r="17" ht="58" customHeight="1">
      <c r="A17" s="4" t="n">
        <v>13</v>
      </c>
      <c r="B17" s="5" t="inlineStr">
        <is>
          <t>Mesure de formation de la main-d'œuvre</t>
        </is>
      </c>
      <c r="C17" s="5" t="inlineStr">
        <is>
          <t>Services Québec</t>
        </is>
      </c>
      <c r="D17" s="5" t="inlineStr">
        <is>
          <t>Québec</t>
        </is>
      </c>
      <c r="E17" s="5" t="inlineStr">
        <is>
          <t>Hors piliers</t>
        </is>
      </c>
      <c r="F17" s="5" t="inlineStr">
        <is>
          <t>Subvention</t>
        </is>
      </c>
      <c r="G17" s="6" t="inlineStr">
        <is>
          <t>Admissible</t>
        </is>
      </c>
      <c r="H17" s="7" t="n">
        <v>2000</v>
      </c>
      <c r="I17" s="7" t="n">
        <v>15000</v>
      </c>
      <c r="J17" s="5" t="inlineStr">
        <is>
          <t>Variable</t>
        </is>
      </c>
      <c r="K17" s="5" t="inlineStr">
        <is>
          <t>Ouvert en continu</t>
        </is>
      </c>
      <c r="L17" s="5" t="inlineStr">
        <is>
          <t>Via le même conseiller</t>
        </is>
      </c>
      <c r="M17" s="5" t="inlineStr">
        <is>
          <t>FY27 T1</t>
        </is>
      </c>
      <c r="N17" s="5" t="inlineStr">
        <is>
          <t>Faible</t>
        </is>
      </c>
      <c r="O17" s="8" t="inlineStr">
        <is>
          <t>Couvre les frais de formateur et les salaires des employés pendant la formation, y compris pour la transformation numérique.</t>
        </is>
      </c>
      <c r="P17" s="8" t="inlineStr">
        <is>
          <t>Équipe réduite à environ 2 personnes après le virage : la montée en compétences des restants tient les opérations.</t>
        </is>
      </c>
      <c r="Q17" s="9" t="inlineStr">
        <is>
          <t>https://www.quebec.ca/entreprises-et-travailleurs-autonomes/administrer-gerer/embauche-gestion-personnel/former-main-oeuvre/developper-competences</t>
        </is>
      </c>
    </row>
    <row r="18" ht="58" customHeight="1">
      <c r="A18" s="4" t="n">
        <v>14</v>
      </c>
      <c r="B18" s="5" t="inlineStr">
        <is>
          <t>Concertation pour l'emploi (GRH)</t>
        </is>
      </c>
      <c r="C18" s="5" t="inlineStr">
        <is>
          <t>Services Québec</t>
        </is>
      </c>
      <c r="D18" s="5" t="inlineStr">
        <is>
          <t>Québec</t>
        </is>
      </c>
      <c r="E18" s="5" t="inlineStr">
        <is>
          <t>Hors piliers</t>
        </is>
      </c>
      <c r="F18" s="5" t="inlineStr">
        <is>
          <t>Subvention</t>
        </is>
      </c>
      <c r="G18" s="6" t="inlineStr">
        <is>
          <t>Admissible</t>
        </is>
      </c>
      <c r="H18" s="7" t="n">
        <v>2000</v>
      </c>
      <c r="I18" s="7" t="n">
        <v>10000</v>
      </c>
      <c r="J18" s="5" t="inlineStr">
        <is>
          <t>Variable</t>
        </is>
      </c>
      <c r="K18" s="5" t="inlineStr">
        <is>
          <t>Ouvert en continu</t>
        </is>
      </c>
      <c r="L18" s="5" t="inlineStr">
        <is>
          <t>Via le même conseiller</t>
        </is>
      </c>
      <c r="M18" s="5" t="inlineStr">
        <is>
          <t>FY27 T1</t>
        </is>
      </c>
      <c r="N18" s="5" t="inlineStr">
        <is>
          <t>Faible</t>
        </is>
      </c>
      <c r="O18" s="8" t="inlineStr">
        <is>
          <t>Honoraires professionnels : diagnostic RH, mandat de consultation, coaching de gestion, accompagnement en gestion du changement.</t>
        </is>
      </c>
      <c r="P18" s="8" t="inlineStr">
        <is>
          <t>Le virage manufacturier 2025-2026, avec mises à pied et redéfinition des rôles, est une gestion du changement documentée.</t>
        </is>
      </c>
      <c r="Q18" s="9" t="inlineStr">
        <is>
          <t>https://www.quebec.ca/entreprises-et-travailleurs-autonomes/administrer-gerer/embauche-gestion-personnel/aide-gestion-ressources-humaines/obtenir-conseils</t>
        </is>
      </c>
    </row>
    <row r="19" ht="58" customHeight="1">
      <c r="A19" s="4" t="n">
        <v>15</v>
      </c>
      <c r="B19" s="5" t="inlineStr">
        <is>
          <t>Stages pratiques PSPE (Magnet, CTIC, TECHNATION, BioTalent)</t>
        </is>
      </c>
      <c r="C19" s="5" t="inlineStr">
        <is>
          <t>ESDC via partenaires sectoriels</t>
        </is>
      </c>
      <c r="D19" s="5" t="inlineStr">
        <is>
          <t>Fédéral</t>
        </is>
      </c>
      <c r="E19" s="5" t="inlineStr">
        <is>
          <t>Ventes</t>
        </is>
      </c>
      <c r="F19" s="5" t="inlineStr">
        <is>
          <t>Subvention salariale</t>
        </is>
      </c>
      <c r="G19" s="6" t="inlineStr">
        <is>
          <t>Admissible</t>
        </is>
      </c>
      <c r="H19" s="7" t="n">
        <v>5000</v>
      </c>
      <c r="I19" s="7" t="n">
        <v>15000</v>
      </c>
      <c r="J19" s="5" t="inlineStr">
        <is>
          <t>Salaire avancé, remboursé après</t>
        </is>
      </c>
      <c r="K19" s="5" t="inlineStr">
        <is>
          <t>Ouvert par trimestre scolaire</t>
        </is>
      </c>
      <c r="L19" s="5" t="inlineStr">
        <is>
          <t>Premier arrivé, premier servi</t>
        </is>
      </c>
      <c r="M19" s="5" t="inlineStr">
        <is>
          <t>FY27 T2</t>
        </is>
      </c>
      <c r="N19" s="5" t="inlineStr">
        <is>
          <t>Faible</t>
        </is>
      </c>
      <c r="O19" s="8" t="inlineStr">
        <is>
          <t>5 000 $ par stage d'étudiant postsecondaire. Postes à composante numérique ou technologique priorisés.</t>
        </is>
      </c>
      <c r="P19" s="8" t="inlineStr">
        <is>
          <t>Un poste en commerce électronique, automatisation ou données qualifie sans forcer. Déposer chez UN SEUL partenaire : c'est la même enveloppe fédérale.</t>
        </is>
      </c>
      <c r="Q19" s="9" t="inlineStr">
        <is>
          <t>https://swpprogram.ca/fr/</t>
        </is>
      </c>
    </row>
    <row r="20" ht="58" customHeight="1">
      <c r="A20" s="4" t="n">
        <v>16</v>
      </c>
      <c r="B20" s="5" t="inlineStr">
        <is>
          <t>Emplois d'été Canada</t>
        </is>
      </c>
      <c r="C20" s="5" t="inlineStr">
        <is>
          <t>Emploi et Développement social Canada</t>
        </is>
      </c>
      <c r="D20" s="5" t="inlineStr">
        <is>
          <t>Fédéral</t>
        </is>
      </c>
      <c r="E20" s="5" t="inlineStr">
        <is>
          <t>Hors piliers</t>
        </is>
      </c>
      <c r="F20" s="5" t="inlineStr">
        <is>
          <t>Subvention salariale</t>
        </is>
      </c>
      <c r="G20" s="6" t="inlineStr">
        <is>
          <t>Admissible</t>
        </is>
      </c>
      <c r="H20" s="7" t="n">
        <v>3000</v>
      </c>
      <c r="I20" s="7" t="n">
        <v>8000</v>
      </c>
      <c r="J20" s="5" t="inlineStr">
        <is>
          <t>50 % du salaire minimum</t>
        </is>
      </c>
      <c r="K20" s="5" t="inlineStr">
        <is>
          <t>Fermé — rouvre vers novembre 2026</t>
        </is>
      </c>
      <c r="L20" s="5" t="inlineStr">
        <is>
          <t>Date limite attendue ~11 décembre 2026 pour l'été 2027</t>
        </is>
      </c>
      <c r="M20" s="5" t="inlineStr">
        <is>
          <t>FY27 T2</t>
        </is>
      </c>
      <c r="N20" s="5" t="inlineStr">
        <is>
          <t>Faible</t>
        </is>
      </c>
      <c r="O20" s="8" t="inlineStr">
        <is>
          <t>Secteur privé : jusqu'à 50 % du salaire minimum en vigueur. Jeunes de 15 à 30 ans, postes à temps plein.</t>
        </is>
      </c>
      <c r="P20" s="8" t="inlineStr">
        <is>
          <t>Renfort d'atelier ou d'expédition pour la production estivale, en amont de la saison hivernale.</t>
        </is>
      </c>
      <c r="Q20" s="9" t="inlineStr">
        <is>
          <t>https://www.canada.ca/fr/emploi-developpement-social/services/financement/emplois-ete-canada.html</t>
        </is>
      </c>
    </row>
    <row r="21" ht="58" customHeight="1">
      <c r="A21" s="4" t="n">
        <v>17</v>
      </c>
      <c r="B21" s="5" t="inlineStr">
        <is>
          <t>Riipen — Level UP</t>
        </is>
      </c>
      <c r="C21" s="5" t="inlineStr">
        <is>
          <t>Riipen</t>
        </is>
      </c>
      <c r="D21" s="5" t="inlineStr">
        <is>
          <t>Fédéral</t>
        </is>
      </c>
      <c r="E21" s="5" t="inlineStr">
        <is>
          <t>Ventes</t>
        </is>
      </c>
      <c r="F21" s="5" t="inlineStr">
        <is>
          <t>Subvention</t>
        </is>
      </c>
      <c r="G21" s="6" t="inlineStr">
        <is>
          <t>Admissible</t>
        </is>
      </c>
      <c r="H21" s="7" t="n">
        <v>1400</v>
      </c>
      <c r="I21" s="7" t="n">
        <v>4200</v>
      </c>
      <c r="J21" s="5" t="inlineStr">
        <is>
          <t>Aucune</t>
        </is>
      </c>
      <c r="K21" s="5" t="inlineStr">
        <is>
          <t>Ouvert</t>
        </is>
      </c>
      <c r="L21" s="5" t="inlineStr">
        <is>
          <t>Par semestre universitaire</t>
        </is>
      </c>
      <c r="M21" s="5" t="inlineStr">
        <is>
          <t>FY27 T2</t>
        </is>
      </c>
      <c r="N21" s="5" t="inlineStr">
        <is>
          <t>Faible</t>
        </is>
      </c>
      <c r="O21" s="8" t="inlineStr">
        <is>
          <t>1 400 $ par étudiant. Projets de 60 heures sur 2 à 8 semaines, encadrés par un enseignant.</t>
        </is>
      </c>
      <c r="P21" s="8" t="inlineStr">
        <is>
          <t>Format parfait pour des mandats bornés : localisation des fiches produits pour les marchés américains, refonte du guide de plantation, analyse de saisonnalité.</t>
        </is>
      </c>
      <c r="Q21" s="9" t="inlineStr">
        <is>
          <t>https://fr.riipen.com/levelup/employers</t>
        </is>
      </c>
    </row>
    <row r="22" ht="58" customHeight="1">
      <c r="A22" s="4" t="n">
        <v>18</v>
      </c>
      <c r="B22" s="5" t="inlineStr">
        <is>
          <t>Capitale-Innovation</t>
        </is>
      </c>
      <c r="C22" s="5" t="inlineStr">
        <is>
          <t>Ville de Québec</t>
        </is>
      </c>
      <c r="D22" s="5" t="inlineStr">
        <is>
          <t>Municipal</t>
        </is>
      </c>
      <c r="E22" s="5" t="inlineStr">
        <is>
          <t>International</t>
        </is>
      </c>
      <c r="F22" s="5" t="inlineStr">
        <is>
          <t>Contribution non remboursable</t>
        </is>
      </c>
      <c r="G22" s="10" t="inlineStr">
        <is>
          <t>À valider</t>
        </is>
      </c>
      <c r="H22" s="7" t="n">
        <v>50000</v>
      </c>
      <c r="I22" s="7" t="n">
        <v>500000</v>
      </c>
      <c r="J22" s="5" t="inlineStr">
        <is>
          <t>50 %, puis 60 % au-delà de 250 k$</t>
        </is>
      </c>
      <c r="K22" s="5" t="inlineStr">
        <is>
          <t>Volet ouvert (page à jour le 8 juillet 2026)</t>
        </is>
      </c>
      <c r="L22" s="5" t="inlineStr">
        <is>
          <t>Enveloppe Vision Québec 2030 possiblement fermée depuis le 31 mars 2026 — à faire trancher</t>
        </is>
      </c>
      <c r="M22" s="5" t="inlineStr">
        <is>
          <t>FY28 T3</t>
        </is>
      </c>
      <c r="N22" s="5" t="inlineStr">
        <is>
          <t>Élevé</t>
        </is>
      </c>
      <c r="O22" s="8" t="inlineStr">
        <is>
          <t>Secteur « Manufacturier, matériaux, transformation industrielle » explicitement admissible. Siège dans l'agglomération de Québec : rempli (1286 av. de la Ronde).</t>
        </is>
      </c>
      <c r="P22" s="8" t="inlineStr">
        <is>
          <t>Le plus gros non remboursable accessible localement. Exige la preuve de détention de la PI. Cumul de toute aide publique plafonné à 70 %.</t>
        </is>
      </c>
      <c r="Q22" s="9" t="inlineStr">
        <is>
          <t>https://www.ville.quebec.qc.ca/gens_affaires/financement/innovation/capitale-innovation.aspx</t>
        </is>
      </c>
    </row>
    <row r="23" ht="58" customHeight="1">
      <c r="A23" s="4" t="n">
        <v>19</v>
      </c>
      <c r="B23" s="5" t="inlineStr">
        <is>
          <t>Validation de principe</t>
        </is>
      </c>
      <c r="C23" s="5" t="inlineStr">
        <is>
          <t>Produits naturels Canada</t>
        </is>
      </c>
      <c r="D23" s="5" t="inlineStr">
        <is>
          <t>Fédéral</t>
        </is>
      </c>
      <c r="E23" s="5" t="inlineStr">
        <is>
          <t>R&amp;D</t>
        </is>
      </c>
      <c r="F23" s="5" t="inlineStr">
        <is>
          <t>Financement remboursable</t>
        </is>
      </c>
      <c r="G23" s="10" t="inlineStr">
        <is>
          <t>À valider</t>
        </is>
      </c>
      <c r="H23" s="7" t="n">
        <v>50000</v>
      </c>
      <c r="I23" s="7" t="n">
        <v>250000</v>
      </c>
      <c r="J23" s="5" t="inlineStr">
        <is>
          <t>60 %</t>
        </is>
      </c>
      <c r="K23" s="5" t="inlineStr">
        <is>
          <t>Ouvert en continu</t>
        </is>
      </c>
      <c r="L23" s="5" t="inlineStr">
        <is>
          <t>Demande à tout moment</t>
        </is>
      </c>
      <c r="M23" s="5" t="inlineStr">
        <is>
          <t>FY28 T4</t>
        </is>
      </c>
      <c r="N23" s="5" t="inlineStr">
        <is>
          <t>Élevé</t>
        </is>
      </c>
      <c r="O23" s="8" t="inlineStr">
        <is>
          <t>40 % des coûts, maximum 250 000 $. PNC cherche un potentiel de 10 à 15 M$ de revenus annuels — un cran au-dessus de la trajectoire de Lasclay.</t>
        </is>
      </c>
      <c r="P23" s="8" t="inlineStr">
        <is>
          <t>Réserve sérieuse sur le critère de potentiel de revenus. À tenter seulement si le volet cosmétique prend de l'ampleur.</t>
        </is>
      </c>
      <c r="Q23" s="9" t="inlineStr">
        <is>
          <t>https://www.naturalproductscanada.com/fr/programmes/programme-validation-de-principe/</t>
        </is>
      </c>
    </row>
    <row r="24" ht="58" customHeight="1">
      <c r="A24" s="4" t="n">
        <v>20</v>
      </c>
      <c r="B24" s="5" t="inlineStr">
        <is>
          <t>Bons d'accompagnement à la croissance</t>
        </is>
      </c>
      <c r="C24" s="5" t="inlineStr">
        <is>
          <t>Ville de Québec</t>
        </is>
      </c>
      <c r="D24" s="5" t="inlineStr">
        <is>
          <t>Municipal</t>
        </is>
      </c>
      <c r="E24" s="5" t="inlineStr">
        <is>
          <t>Ventes</t>
        </is>
      </c>
      <c r="F24" s="5" t="inlineStr">
        <is>
          <t>Contribution</t>
        </is>
      </c>
      <c r="G24" s="10" t="inlineStr">
        <is>
          <t>À valider</t>
        </is>
      </c>
      <c r="H24" s="7" t="n">
        <v>5000</v>
      </c>
      <c r="I24" s="7" t="n">
        <v>20000</v>
      </c>
      <c r="J24" s="5" t="inlineStr">
        <is>
          <t>Variable</t>
        </is>
      </c>
      <c r="K24" s="5" t="inlineStr">
        <is>
          <t>Ouvert, dépôt en continu</t>
        </is>
      </c>
      <c r="L24" s="5" t="inlineStr">
        <is>
          <t>Aucune date de tombée</t>
        </is>
      </c>
      <c r="M24" s="5" t="inlineStr">
        <is>
          <t>FY27 T4</t>
        </is>
      </c>
      <c r="N24" s="5" t="inlineStr">
        <is>
          <t>Faible</t>
        </is>
      </c>
      <c r="O24" s="8" t="inlineStr">
        <is>
          <t>Exclut explicitement les commerces opérant UNIQUEMENT en ligne.</t>
        </is>
      </c>
      <c r="P24" s="8" t="inlineStr">
        <is>
          <t>L'atelier de Limoilou et la transformation de l'isolant sortent Lasclay de l'exclusion, mais il faut l'énoncer clairement dans la demande.</t>
        </is>
      </c>
      <c r="Q24" s="9" t="inlineStr">
        <is>
          <t>https://www.ville.quebec.qc.ca/gens_affaires/financement/productivite/bons-accompagnement.aspx</t>
        </is>
      </c>
    </row>
    <row r="25" ht="58" customHeight="1">
      <c r="A25" s="4" t="n">
        <v>21</v>
      </c>
      <c r="B25" s="5" t="inlineStr">
        <is>
          <t>Panorama</t>
        </is>
      </c>
      <c r="C25" s="5" t="inlineStr">
        <is>
          <t>Investissement Québec</t>
        </is>
      </c>
      <c r="D25" s="5" t="inlineStr">
        <is>
          <t>Québec</t>
        </is>
      </c>
      <c r="E25" s="5" t="inlineStr">
        <is>
          <t>International</t>
        </is>
      </c>
      <c r="F25" s="5" t="inlineStr">
        <is>
          <t>Prêt</t>
        </is>
      </c>
      <c r="G25" s="11" t="inlineStr">
        <is>
          <t>Reporté</t>
        </is>
      </c>
      <c r="H25" s="7" t="n">
        <v>250000</v>
      </c>
      <c r="I25" s="7" t="n">
        <v>1000000</v>
      </c>
      <c r="J25" s="5" t="inlineStr">
        <is>
          <t>Capacité de crédit</t>
        </is>
      </c>
      <c r="K25" s="5" t="inlineStr">
        <is>
          <t>Ouvert</t>
        </is>
      </c>
      <c r="L25" s="5" t="inlineStr">
        <is>
          <t>Après retour à la rentabilité</t>
        </is>
      </c>
      <c r="M25" s="5" t="inlineStr">
        <is>
          <t>FY28</t>
        </is>
      </c>
      <c r="N25" s="5" t="inlineStr">
        <is>
          <t>Élevé</t>
        </is>
      </c>
      <c r="O25" s="8" t="inlineStr">
        <is>
          <t>Prêt de fonds de roulement export, moratoire de capital de 24 mois, SANS sûreté ni caution corporative ou personnelle. EXCLUT les États-Unis.</t>
        </is>
      </c>
      <c r="P25" s="8" t="inlineStr">
        <is>
          <t>Structure rare et attrayante, mais hors de portée avec un avoir de -254 035 $ et 584 320 $ de dette portant intérêt.</t>
        </is>
      </c>
      <c r="Q25" s="9" t="inlineStr">
        <is>
          <t>https://exportation.investquebec.com/solutions</t>
        </is>
      </c>
    </row>
    <row r="26" ht="58" customHeight="1">
      <c r="A26" s="4" t="n">
        <v>22</v>
      </c>
      <c r="B26" s="5" t="inlineStr">
        <is>
          <t>ESSOR — Volet 4 (internationalisation)</t>
        </is>
      </c>
      <c r="C26" s="5" t="inlineStr">
        <is>
          <t>Investissement Québec</t>
        </is>
      </c>
      <c r="D26" s="5" t="inlineStr">
        <is>
          <t>Québec</t>
        </is>
      </c>
      <c r="E26" s="5" t="inlineStr">
        <is>
          <t>International</t>
        </is>
      </c>
      <c r="F26" s="5" t="inlineStr">
        <is>
          <t>Prêt ou garantie</t>
        </is>
      </c>
      <c r="G26" s="11" t="inlineStr">
        <is>
          <t>Reporté</t>
        </is>
      </c>
      <c r="H26" s="7" t="n">
        <v>50000</v>
      </c>
      <c r="I26" s="7" t="n">
        <v>500000</v>
      </c>
      <c r="J26" s="5" t="inlineStr">
        <is>
          <t>Capacité de crédit</t>
        </is>
      </c>
      <c r="K26" s="5" t="inlineStr">
        <is>
          <t>Ouvert</t>
        </is>
      </c>
      <c r="L26" s="5" t="inlineStr">
        <is>
          <t>Si le développement É.-U. passe par de la distribution locale</t>
        </is>
      </c>
      <c r="M26" s="5" t="inlineStr">
        <is>
          <t>FY28 T4</t>
        </is>
      </c>
      <c r="N26" s="5" t="inlineStr">
        <is>
          <t>Élevé</t>
        </is>
      </c>
      <c r="O26" s="8" t="inlineStr">
        <is>
          <t>Vise les stratégies d'internationalisation complexes : entités, entrepôts, chaînes d'approvisionnement à l'étranger.</t>
        </is>
      </c>
      <c r="P26" s="8" t="inlineStr">
        <is>
          <t>Ne se justifie pas tant que les États-Unis sont servis par expédition directe depuis Québec.</t>
        </is>
      </c>
      <c r="Q26" s="9" t="inlineStr">
        <is>
          <t>https://www.investquebec.com/fr/financement/programmes-gouvernementaux/essor/appui-linternationalisation-des-entreprises</t>
        </is>
      </c>
    </row>
    <row r="27" ht="58" customHeight="1">
      <c r="A27" s="4" t="n">
        <v>23</v>
      </c>
      <c r="B27" s="5" t="inlineStr">
        <is>
          <t>Programme Innovation — Volet 1</t>
        </is>
      </c>
      <c r="C27" s="5" t="inlineStr">
        <is>
          <t>MEIE</t>
        </is>
      </c>
      <c r="D27" s="5" t="inlineStr">
        <is>
          <t>Québec</t>
        </is>
      </c>
      <c r="E27" s="5" t="inlineStr">
        <is>
          <t>R&amp;D</t>
        </is>
      </c>
      <c r="F27" s="5" t="inlineStr">
        <is>
          <t>Subvention</t>
        </is>
      </c>
      <c r="G27" s="11" t="inlineStr">
        <is>
          <t>Reporté</t>
        </is>
      </c>
      <c r="H27" s="7" t="n">
        <v>50000</v>
      </c>
      <c r="I27" s="7" t="n">
        <v>500000</v>
      </c>
      <c r="J27" s="5" t="inlineStr">
        <is>
          <t>25 % en argent</t>
        </is>
      </c>
      <c r="K27" s="5" t="inlineStr">
        <is>
          <t>N'accepte pas les demandes</t>
        </is>
      </c>
      <c r="L27" s="5" t="inlineStr">
        <is>
          <t>Surveiller la réouverture</t>
        </is>
      </c>
      <c r="M27" s="5" t="inlineStr">
        <is>
          <t>FY28</t>
        </is>
      </c>
      <c r="N27" s="5" t="inlineStr">
        <is>
          <t>Élevé</t>
        </is>
      </c>
      <c r="O27" s="8" t="inlineStr">
        <is>
          <t>Jusqu'à 500 000 $ par entreprise. Contribution privée EN ARGENT d'au moins 25 % des dépenses admissibles.</t>
        </is>
      </c>
      <c r="P27" s="8" t="inlineStr">
        <is>
          <t>ABSENT du répertoire Innoveici : c'est un angle mort du premier tri. Pendant provincial de Capitale-Innovation, à surveiller activement.</t>
        </is>
      </c>
      <c r="Q27" s="9" t="inlineStr">
        <is>
          <t>https://www.economie.gouv.qc.ca/bibliotheques/programmes/aide-financiere/programme-innovation</t>
        </is>
      </c>
    </row>
    <row r="28" ht="58" customHeight="1">
      <c r="A28" s="4" t="n">
        <v>24</v>
      </c>
      <c r="B28" s="5" t="inlineStr">
        <is>
          <t>Programme canadien de l'innovation à l'international</t>
        </is>
      </c>
      <c r="C28" s="5" t="inlineStr">
        <is>
          <t>Affaires mondiales Canada</t>
        </is>
      </c>
      <c r="D28" s="5" t="inlineStr">
        <is>
          <t>Fédéral</t>
        </is>
      </c>
      <c r="E28" s="5" t="inlineStr">
        <is>
          <t>R&amp;D</t>
        </is>
      </c>
      <c r="F28" s="5" t="inlineStr">
        <is>
          <t>Subvention</t>
        </is>
      </c>
      <c r="G28" s="10" t="inlineStr">
        <is>
          <t>À valider</t>
        </is>
      </c>
      <c r="H28" s="7" t="n">
        <v>15000</v>
      </c>
      <c r="I28" s="7" t="n">
        <v>600000</v>
      </c>
      <c r="J28" s="5" t="inlineStr">
        <is>
          <t>50 %</t>
        </is>
      </c>
      <c r="K28" s="5" t="inlineStr">
        <is>
          <t>Dépôt ad hoc</t>
        </is>
      </c>
      <c r="L28" s="5" t="inlineStr">
        <is>
          <t>Ad hoc</t>
        </is>
      </c>
      <c r="M28" s="5" t="inlineStr">
        <is>
          <t>FY28</t>
        </is>
      </c>
      <c r="N28" s="5" t="inlineStr">
        <is>
          <t>Élevé</t>
        </is>
      </c>
      <c r="O28" s="8" t="inlineStr">
        <is>
          <t>Exige un partenaire de R-D au Brésil, en Chine, en Inde, en Israël ou en Corée du Sud.</t>
        </is>
      </c>
      <c r="P28" s="8" t="inlineStr">
        <is>
          <t>La liste de pays ne recoupe pas la chaîne d'approvisionnement actuelle, qui passe par la Tunisie. À garder en veille seulement.</t>
        </is>
      </c>
      <c r="Q28" s="9" t="inlineStr">
        <is>
          <t>https://www.deleguescommerciaux.gc.ca/fr/nos-solutions/programmes-soutien/programme-canadien-innovation-international.html</t>
        </is>
      </c>
    </row>
    <row r="29" ht="58" customHeight="1">
      <c r="A29" s="4" t="n">
        <v>25</v>
      </c>
      <c r="B29" s="5" t="inlineStr">
        <is>
          <t>CERI — Expansion des entreprises et productivité</t>
        </is>
      </c>
      <c r="C29" s="5" t="inlineStr">
        <is>
          <t>Développement économique Canada</t>
        </is>
      </c>
      <c r="D29" s="5" t="inlineStr">
        <is>
          <t>Fédéral</t>
        </is>
      </c>
      <c r="E29" s="5" t="inlineStr">
        <is>
          <t>Ventes</t>
        </is>
      </c>
      <c r="F29" s="5" t="inlineStr">
        <is>
          <t>Contribution remboursable à 0 %</t>
        </is>
      </c>
      <c r="G29" s="10" t="inlineStr">
        <is>
          <t>À valider</t>
        </is>
      </c>
      <c r="H29" s="7" t="n">
        <v>25000</v>
      </c>
      <c r="I29" s="7" t="n">
        <v>250000</v>
      </c>
      <c r="J29" s="5" t="inlineStr">
        <is>
          <t>50 %</t>
        </is>
      </c>
      <c r="K29" s="5" t="inlineStr">
        <is>
          <t>Ouvert en continu</t>
        </is>
      </c>
      <c r="L29" s="5" t="inlineStr">
        <is>
          <t>En continu</t>
        </is>
      </c>
      <c r="M29" s="5" t="inlineStr">
        <is>
          <t>FY27 T4</t>
        </is>
      </c>
      <c r="N29" s="5" t="inlineStr">
        <is>
          <t>Élevé</t>
        </is>
      </c>
      <c r="O29" s="8" t="inlineStr">
        <is>
          <t>Aucun seuil de revenus, contrairement à l'IRRT. Secteurs admissibles : manufacturier, transformation alimentaire, TIC, sciences de la vie. Commerce de détail EXPLICITEMENT EXCLU.</t>
        </is>
      </c>
      <c r="P29" s="8" t="inlineStr">
        <is>
          <t>RÉTROGRADÉ. Je recommandais de cadrer le dossier en manufacturier ; ce n'est plus la posture de l'entreprise, et le commerce de détail est un secteur exclu par DEC. Le seul crochet honnête qui reste est la transformation de l'isolant, qui se poursuit au Québec (91 336 $ de salaires de production aux livres en FY2026). À ne tenter que si DEC confirme d'avance que cette activité suffit à qualifier. Le volet commercialisation et développement des marchés du programme reste, lui, parfaitement aligné.</t>
        </is>
      </c>
      <c r="Q29" s="9" t="inlineStr">
        <is>
          <t>https://www.canada.ca/fr/developpement-economique-regions-quebec/financement-services/expansion-des-entreprises-et-productivite.html</t>
        </is>
      </c>
    </row>
    <row r="30" ht="58" customHeight="1">
      <c r="A30" s="4" t="n">
        <v>26</v>
      </c>
      <c r="B30" s="5" t="inlineStr">
        <is>
          <t>Prêts aux entreprises</t>
        </is>
      </c>
      <c r="C30" s="5" t="inlineStr">
        <is>
          <t>Ville de Québec</t>
        </is>
      </c>
      <c r="D30" s="5" t="inlineStr">
        <is>
          <t>Municipal</t>
        </is>
      </c>
      <c r="E30" s="5" t="inlineStr">
        <is>
          <t>Hors piliers</t>
        </is>
      </c>
      <c r="F30" s="5" t="inlineStr">
        <is>
          <t>Prêt</t>
        </is>
      </c>
      <c r="G30" s="10" t="inlineStr">
        <is>
          <t>À valider</t>
        </is>
      </c>
      <c r="H30" s="7" t="n">
        <v>25000</v>
      </c>
      <c r="I30" s="7" t="n">
        <v>150000</v>
      </c>
      <c r="J30" s="5" t="inlineStr">
        <is>
          <t>Capacité de crédit</t>
        </is>
      </c>
      <c r="K30" s="5" t="inlineStr">
        <is>
          <t>Ouvert</t>
        </is>
      </c>
      <c r="L30" s="5" t="inlineStr">
        <is>
          <t>En continu</t>
        </is>
      </c>
      <c r="M30" s="5" t="inlineStr">
        <is>
          <t>FY28 T1</t>
        </is>
      </c>
      <c r="N30" s="5" t="inlineStr">
        <is>
          <t>Moyen</t>
        </is>
      </c>
      <c r="O30" s="8" t="inlineStr">
        <is>
          <t>Quatre volets : démarrage, amélioration et transformation, croissance et expansion, relève.</t>
        </is>
      </c>
      <c r="P30" s="8" t="inlineStr">
        <is>
          <t>Le volet « amélioration et transformation » colle au virage manufacturier. La capacité de crédit reste à démontrer avec un avoir négatif.</t>
        </is>
      </c>
      <c r="Q30" s="9" t="inlineStr">
        <is>
          <t>https://www.ville.quebec.qc.ca/gens_affaires/financement/autres/prets-aux-entreprises/index.aspx</t>
        </is>
      </c>
    </row>
    <row r="31" ht="58" customHeight="1">
      <c r="A31" s="4" t="n">
        <v>27</v>
      </c>
      <c r="B31" s="5" t="inlineStr">
        <is>
          <t>Pratiques RH (FCCQ) et RH éclair! (FCEI)</t>
        </is>
      </c>
      <c r="C31" s="5" t="inlineStr">
        <is>
          <t>FCCQ / FCEI</t>
        </is>
      </c>
      <c r="D31" s="5" t="inlineStr">
        <is>
          <t>Québec et fédéral</t>
        </is>
      </c>
      <c r="E31" s="5" t="inlineStr">
        <is>
          <t>Hors piliers</t>
        </is>
      </c>
      <c r="F31" s="5" t="inlineStr">
        <is>
          <t>Service gratuit</t>
        </is>
      </c>
      <c r="G31" s="6" t="inlineStr">
        <is>
          <t>Admissible</t>
        </is>
      </c>
      <c r="H31" s="7" t="n">
        <v>0</v>
      </c>
      <c r="I31" s="7" t="n">
        <v>0</v>
      </c>
      <c r="J31" s="5" t="inlineStr">
        <is>
          <t>Aucune</t>
        </is>
      </c>
      <c r="K31" s="5" t="inlineStr">
        <is>
          <t>Ouvert</t>
        </is>
      </c>
      <c r="L31" s="5" t="inlineStr">
        <is>
          <t>En continu</t>
        </is>
      </c>
      <c r="M31" s="5" t="inlineStr">
        <is>
          <t>FY27 T1</t>
        </is>
      </c>
      <c r="N31" s="5" t="inlineStr">
        <is>
          <t>Faible</t>
        </is>
      </c>
      <c r="O31" s="8" t="inlineStr">
        <is>
          <t>Accès gratuit à des conseils RH et juridiques, à une bibliothèque de modèles et de politiques.</t>
        </is>
      </c>
      <c r="P31" s="8" t="inlineStr">
        <is>
          <t>Zéro dollar en jeu, mais utile pour sécuriser les contrats et les politiques après une réduction d'effectifs.</t>
        </is>
      </c>
      <c r="Q31" s="9" t="inlineStr">
        <is>
          <t>https://pratiquesrh.com/</t>
        </is>
      </c>
    </row>
    <row r="32" ht="58" customHeight="1">
      <c r="A32" s="4" t="n">
        <v>28</v>
      </c>
      <c r="B32" s="5" t="inlineStr">
        <is>
          <t>Contrat d'intégration au travail</t>
        </is>
      </c>
      <c r="C32" s="5" t="inlineStr">
        <is>
          <t>Services Québec</t>
        </is>
      </c>
      <c r="D32" s="5" t="inlineStr">
        <is>
          <t>Québec</t>
        </is>
      </c>
      <c r="E32" s="5" t="inlineStr">
        <is>
          <t>Hors piliers</t>
        </is>
      </c>
      <c r="F32" s="5" t="inlineStr">
        <is>
          <t>Subvention salariale</t>
        </is>
      </c>
      <c r="G32" s="6" t="inlineStr">
        <is>
          <t>Admissible</t>
        </is>
      </c>
      <c r="H32" s="7" t="n">
        <v>3000</v>
      </c>
      <c r="I32" s="7" t="n">
        <v>20000</v>
      </c>
      <c r="J32" s="5" t="inlineStr">
        <is>
          <t>Part du salaire</t>
        </is>
      </c>
      <c r="K32" s="5" t="inlineStr">
        <is>
          <t>Ouvert en continu</t>
        </is>
      </c>
      <c r="L32" s="5" t="inlineStr">
        <is>
          <t>En continu</t>
        </is>
      </c>
      <c r="M32" s="5" t="inlineStr">
        <is>
          <t>FY28</t>
        </is>
      </c>
      <c r="N32" s="5" t="inlineStr">
        <is>
          <t>Faible</t>
        </is>
      </c>
      <c r="O32" s="8" t="inlineStr">
        <is>
          <t>Soutien au salaire pour compenser un écart de productivité, plus couverture de l'adaptation du poste.</t>
        </is>
      </c>
      <c r="P32" s="8" t="inlineStr">
        <is>
          <t>Pertinent pour l'assemblage, l'emballage de semences et l'expédition, où les tâches se découpent bien.</t>
        </is>
      </c>
      <c r="Q32" s="9" t="inlineStr">
        <is>
          <t>https://www.quebec.ca/entreprises-et-travailleurs-autonomes/administrer-gerer/embauche-gestion-personnel/recruter/contrat-integration-travail</t>
        </is>
      </c>
    </row>
    <row r="33" ht="58" customHeight="1">
      <c r="A33" s="4" t="n">
        <v>29</v>
      </c>
      <c r="B33" s="5" t="inlineStr">
        <is>
          <t>Fonds économie circulaire</t>
        </is>
      </c>
      <c r="C33" s="5" t="inlineStr">
        <is>
          <t>Fondaction</t>
        </is>
      </c>
      <c r="D33" s="5" t="inlineStr">
        <is>
          <t>Québec</t>
        </is>
      </c>
      <c r="E33" s="5" t="inlineStr">
        <is>
          <t>Mission</t>
        </is>
      </c>
      <c r="F33" s="5" t="inlineStr">
        <is>
          <t>Capital (dilution)</t>
        </is>
      </c>
      <c r="G33" s="10" t="inlineStr">
        <is>
          <t>À valider</t>
        </is>
      </c>
      <c r="H33" s="7" t="n">
        <v>100000</v>
      </c>
      <c r="I33" s="7" t="n">
        <v>500000</v>
      </c>
      <c r="J33" s="5" t="inlineStr">
        <is>
          <t>Dilution du capital</t>
        </is>
      </c>
      <c r="K33" s="5" t="inlineStr">
        <is>
          <t>Ouvert</t>
        </is>
      </c>
      <c r="L33" s="5" t="inlineStr">
        <is>
          <t>En continu</t>
        </is>
      </c>
      <c r="M33" s="5" t="inlineStr">
        <is>
          <t>FY28</t>
        </is>
      </c>
      <c r="N33" s="5" t="inlineStr">
        <is>
          <t>Élevé</t>
        </is>
      </c>
      <c r="O33" s="8" t="inlineStr">
        <is>
          <t>Cible les jeunes entreprises en phase de démarrage dont le modèle repose sur la circularité. C'est du capital, pas de la subvention.</t>
        </is>
      </c>
      <c r="P33" s="8" t="inlineStr">
        <is>
          <t>Les semences issues de la transformation de la soie et la gamme « Les Imparfaits » sont de la circularité réelle. À ne considérer que si l'ouverture du capital devient une option assumée.</t>
        </is>
      </c>
      <c r="Q33" s="9" t="inlineStr">
        <is>
          <t>https://www.fondaction.com/entreprise/fonds-economie-circulaire/</t>
        </is>
      </c>
    </row>
    <row r="34" ht="58" customHeight="1">
      <c r="A34" s="4" t="n">
        <v>30</v>
      </c>
      <c r="B34" s="5" t="inlineStr">
        <is>
          <t>ICI on recycle +</t>
        </is>
      </c>
      <c r="C34" s="5" t="inlineStr">
        <is>
          <t>Recyc-Québec</t>
        </is>
      </c>
      <c r="D34" s="5" t="inlineStr">
        <is>
          <t>Québec</t>
        </is>
      </c>
      <c r="E34" s="5" t="inlineStr">
        <is>
          <t>Mission</t>
        </is>
      </c>
      <c r="F34" s="5" t="inlineStr">
        <is>
          <t>Attestation (clé d'accès)</t>
        </is>
      </c>
      <c r="G34" s="6" t="inlineStr">
        <is>
          <t>Admissible</t>
        </is>
      </c>
      <c r="H34" s="7" t="n">
        <v>-350</v>
      </c>
      <c r="I34" s="7" t="n">
        <v>0</v>
      </c>
      <c r="J34" s="5" t="inlineStr">
        <is>
          <t>350 $ de frais d'inscription</t>
        </is>
      </c>
      <c r="K34" s="5" t="inlineStr">
        <is>
          <t>Ouvert</t>
        </is>
      </c>
      <c r="L34" s="5" t="inlineStr">
        <is>
          <t>En continu</t>
        </is>
      </c>
      <c r="M34" s="5" t="inlineStr">
        <is>
          <t>FY28</t>
        </is>
      </c>
      <c r="N34" s="5" t="inlineStr">
        <is>
          <t>Faible</t>
        </is>
      </c>
      <c r="O34" s="8" t="inlineStr">
        <is>
          <t>N'octroie pas d'aide. Écocondition OBLIGATOIRE, au niveau « Mise en œuvre », pour le versement final de plusieurs aides de Recyc-Québec.</t>
        </is>
      </c>
      <c r="P34" s="8" t="inlineStr">
        <is>
          <t>C'est une clé, pas une source. Environ 350 $ pour déverrouiller les enveloppes de Recyc-Québec et crédibiliser les appels d'offres corporatifs.</t>
        </is>
      </c>
      <c r="Q34" s="9" t="inlineStr">
        <is>
          <t>https://www.recyc-quebec.gouv.qc.ca/entreprises-organismes/performer/programme-ici-on-recycle-plus/</t>
        </is>
      </c>
    </row>
    <row r="35" ht="58" customHeight="1">
      <c r="A35" s="4" t="n">
        <v>31</v>
      </c>
      <c r="B35" s="5" t="inlineStr">
        <is>
          <t>grand V — accompagnement technologique</t>
        </is>
      </c>
      <c r="C35" s="5" t="inlineStr">
        <is>
          <t>Investissement Québec</t>
        </is>
      </c>
      <c r="D35" s="5" t="inlineStr">
        <is>
          <t>Québec</t>
        </is>
      </c>
      <c r="E35" s="5" t="inlineStr">
        <is>
          <t>Hors piliers</t>
        </is>
      </c>
      <c r="F35" s="5" t="inlineStr">
        <is>
          <t>Service (sans dette)</t>
        </is>
      </c>
      <c r="G35" s="6" t="inlineStr">
        <is>
          <t>Admissible</t>
        </is>
      </c>
      <c r="H35" s="7" t="n">
        <v>0</v>
      </c>
      <c r="I35" s="7" t="n">
        <v>0</v>
      </c>
      <c r="J35" s="5" t="inlineStr">
        <is>
          <t>Aucune</t>
        </is>
      </c>
      <c r="K35" s="5" t="inlineStr">
        <is>
          <t>Ouvert en continu</t>
        </is>
      </c>
      <c r="L35" s="5" t="inlineStr">
        <is>
          <t>En continu</t>
        </is>
      </c>
      <c r="M35" s="5" t="inlineStr">
        <is>
          <t>FY27 T3</t>
        </is>
      </c>
      <c r="N35" s="5" t="inlineStr">
        <is>
          <t>Faible</t>
        </is>
      </c>
      <c r="O35" s="8" t="inlineStr">
        <is>
          <t>Jusqu'à 100 heures d'experts en innovation. Séparable du volet financement, qui lui est hors de portée.</t>
        </is>
      </c>
      <c r="P35" s="8" t="inlineStr">
        <is>
          <t>RÉTROGRADÉ : l'offre porte surtout sur la sélection d'équipements, la reconfiguration d'usine et le prototypage, qui ne sont plus des chantiers actifs. Reste utile pour l'amélioration de produits si un volet R&amp;D s'y prête.</t>
        </is>
      </c>
      <c r="Q35" s="9" t="inlineStr">
        <is>
          <t>https://grandv.investquebec.com/</t>
        </is>
      </c>
    </row>
    <row r="36" ht="58" customHeight="1">
      <c r="A36" s="4" t="n">
        <v>32</v>
      </c>
      <c r="B36" s="5" t="inlineStr">
        <is>
          <t>ESSOR — Volet 1 (études préalables)</t>
        </is>
      </c>
      <c r="C36" s="5" t="inlineStr">
        <is>
          <t>Investissement Québec</t>
        </is>
      </c>
      <c r="D36" s="5" t="inlineStr">
        <is>
          <t>Québec</t>
        </is>
      </c>
      <c r="E36" s="5" t="inlineStr">
        <is>
          <t>Hors piliers</t>
        </is>
      </c>
      <c r="F36" s="5" t="inlineStr">
        <is>
          <t>Subvention</t>
        </is>
      </c>
      <c r="G36" s="6" t="inlineStr">
        <is>
          <t>Admissible</t>
        </is>
      </c>
      <c r="H36" s="7" t="n">
        <v>5000</v>
      </c>
      <c r="I36" s="7" t="n">
        <v>50000</v>
      </c>
      <c r="J36" s="5" t="inlineStr">
        <is>
          <t>Variable</t>
        </is>
      </c>
      <c r="K36" s="5" t="inlineStr">
        <is>
          <t>Ouvert en continu</t>
        </is>
      </c>
      <c r="L36" s="5" t="inlineStr">
        <is>
          <t>Dépôt en continu</t>
        </is>
      </c>
      <c r="M36" s="5" t="inlineStr">
        <is>
          <t>FY28 T3</t>
        </is>
      </c>
      <c r="N36" s="5" t="inlineStr">
        <is>
          <t>Moyen</t>
        </is>
      </c>
      <c r="O36" s="8" t="inlineStr">
        <is>
          <t>Études de faisabilité, diagnostic numérique, plan numérique. Entreprises de tous secteurs.</t>
        </is>
      </c>
      <c r="P36" s="8" t="inlineStr">
        <is>
          <t>Porte d'entrée à faible risque avant tout projet d'équipement financé par ESSOR volet 2.</t>
        </is>
      </c>
      <c r="Q36" s="9" t="inlineStr">
        <is>
          <t>https://www.investquebec.com/fr/financement/programmes-gouvernementaux/essor/appui-la-concretisation-de-projets-dinvestissement</t>
        </is>
      </c>
    </row>
    <row r="37" ht="58" customHeight="1">
      <c r="A37" s="4" t="n">
        <v>33</v>
      </c>
      <c r="B37" s="5" t="inlineStr">
        <is>
          <t>C3i — investissement et innovation</t>
        </is>
      </c>
      <c r="C37" s="5" t="inlineStr">
        <is>
          <t>Revenu Québec</t>
        </is>
      </c>
      <c r="D37" s="5" t="inlineStr">
        <is>
          <t>Québec</t>
        </is>
      </c>
      <c r="E37" s="5" t="inlineStr">
        <is>
          <t>Hors piliers</t>
        </is>
      </c>
      <c r="F37" s="5" t="inlineStr">
        <is>
          <t>Crédit d'impôt remboursable</t>
        </is>
      </c>
      <c r="G37" s="10" t="inlineStr">
        <is>
          <t>À valider</t>
        </is>
      </c>
      <c r="H37" s="7" t="n">
        <v>0</v>
      </c>
      <c r="I37" s="7" t="n">
        <v>25000</v>
      </c>
      <c r="J37" s="5" t="inlineStr">
        <is>
          <t>L'achat d'équipement lui-même</t>
        </is>
      </c>
      <c r="K37" s="5" t="inlineStr">
        <is>
          <t>En vigueur</t>
        </is>
      </c>
      <c r="L37" s="5" t="inlineStr">
        <is>
          <t>Avec la déclaration fiscale annuelle</t>
        </is>
      </c>
      <c r="M37" s="5" t="inlineStr">
        <is>
          <t>FY27-FY28</t>
        </is>
      </c>
      <c r="N37" s="5" t="inlineStr">
        <is>
          <t>Faible</t>
        </is>
      </c>
      <c r="O37" s="8" t="inlineStr">
        <is>
          <t>15 % à 25 % du coût du matériel de fabrication et transformation (catégorie 53) et des logiciels de gestion, utilisé au Québec 730 jours consécutifs.</t>
        </is>
      </c>
      <c r="P37" s="8" t="inlineStr">
        <is>
          <t>RÉTROGRADÉ : le crédit porte sur l'ACQUISITION de matériel de fabrication, et il n'y a plus de programme d'achat d'équipement. Ne se cumule pas avec le CRIC sur la même dépense. À réactiver seulement si un achat d'équipement revient au plan.</t>
        </is>
      </c>
      <c r="Q37" s="9" t="inlineStr">
        <is>
          <t>https://www.revenuquebec.ca/fr/entreprises/impots/impot-des-societes/credits-dimpot-des-societes/</t>
        </is>
      </c>
    </row>
    <row r="38" ht="58" customHeight="1">
      <c r="A38" s="4" t="n">
        <v>34</v>
      </c>
      <c r="B38" s="5" t="inlineStr">
        <is>
          <t>Primo-adoptants</t>
        </is>
      </c>
      <c r="C38" s="5" t="inlineStr">
        <is>
          <t>MEIE</t>
        </is>
      </c>
      <c r="D38" s="5" t="inlineStr">
        <is>
          <t>Québec</t>
        </is>
      </c>
      <c r="E38" s="5" t="inlineStr">
        <is>
          <t>Hors piliers</t>
        </is>
      </c>
      <c r="F38" s="5" t="inlineStr">
        <is>
          <t>Subvention (versée au partenaire)</t>
        </is>
      </c>
      <c r="G38" s="6" t="inlineStr">
        <is>
          <t>Admissible</t>
        </is>
      </c>
      <c r="H38" s="7" t="n">
        <v>0</v>
      </c>
      <c r="I38" s="7" t="n">
        <v>0</v>
      </c>
      <c r="J38" s="5" t="inlineStr">
        <is>
          <t>20 % en espèces</t>
        </is>
      </c>
      <c r="K38" s="5" t="inlineStr">
        <is>
          <t>Appel de projets</t>
        </is>
      </c>
      <c r="L38" s="5" t="inlineStr">
        <is>
          <t>Surveiller les appels</t>
        </is>
      </c>
      <c r="M38" s="5" t="inlineStr">
        <is>
          <t>FY28 T3</t>
        </is>
      </c>
      <c r="N38" s="5" t="inlineStr">
        <is>
          <t>Moyen</t>
        </is>
      </c>
      <c r="O38" s="8" t="inlineStr">
        <is>
          <t>Lasclay serait le primo-adoptant, pas le bénéficiaire. La contribution du gouvernement va à la startup ; le primo-adoptant met 20 % en espèces.</t>
        </is>
      </c>
      <c r="P38" s="8" t="inlineStr">
        <is>
          <t>Manière peu coûteuse de faire tester sur la fibre des équipements d'automatisation ou de vision par ordinateur pour le contrôle qualité.</t>
        </is>
      </c>
      <c r="Q38" s="9" t="inlineStr">
        <is>
          <t>https://www.quebec.ca/entreprises-et-travailleurs-autonomes/liste-partielle-aide-financiere/appels-projets-innovation/appel-primo-adoptants</t>
        </is>
      </c>
    </row>
    <row r="39" ht="58" customHeight="1">
      <c r="A39" s="4" t="n">
        <v>35</v>
      </c>
      <c r="B39" s="5" t="inlineStr">
        <is>
          <t>ESSOR — Volet 2 (productivité et expansion)</t>
        </is>
      </c>
      <c r="C39" s="5" t="inlineStr">
        <is>
          <t>Investissement Québec</t>
        </is>
      </c>
      <c r="D39" s="5" t="inlineStr">
        <is>
          <t>Québec</t>
        </is>
      </c>
      <c r="E39" s="5" t="inlineStr">
        <is>
          <t>Hors piliers</t>
        </is>
      </c>
      <c r="F39" s="5" t="inlineStr">
        <is>
          <t>Contribution remboursable ou garantie</t>
        </is>
      </c>
      <c r="G39" s="11" t="inlineStr">
        <is>
          <t>Reporté</t>
        </is>
      </c>
      <c r="H39" s="7" t="n">
        <v>50000</v>
      </c>
      <c r="I39" s="7" t="n">
        <v>500000</v>
      </c>
      <c r="J39" s="5" t="inlineStr">
        <is>
          <t>Capacité de crédit</t>
        </is>
      </c>
      <c r="K39" s="5" t="inlineStr">
        <is>
          <t>Ouvert en continu</t>
        </is>
      </c>
      <c r="L39" s="5" t="inlineStr">
        <is>
          <t>Après un exercice FY2027 positif</t>
        </is>
      </c>
      <c r="M39" s="5" t="inlineStr">
        <is>
          <t>FY28 T1</t>
        </is>
      </c>
      <c r="N39" s="5" t="inlineStr">
        <is>
          <t>Élevé</t>
        </is>
      </c>
      <c r="O39" s="8" t="inlineStr">
        <is>
          <t>Exige de démontrer un potentiel de hausse de rentabilité ou de masse salariale. Honoraires de gestion d'au moins 0,5 % du montant accordé.</t>
        </is>
      </c>
      <c r="P39" s="8" t="inlineStr">
        <is>
          <t>Le raisonnement reste juste, il est prématuré d'un ou deux exercices. Rouvrir le dossier sur des états financiers montrant un redressement.</t>
        </is>
      </c>
      <c r="Q39" s="9" t="inlineStr">
        <is>
          <t>https://www.investquebec.com/fr/financement/programmes-gouvernementaux/essor/essor-volet-2</t>
        </is>
      </c>
    </row>
    <row r="40" ht="58" customHeight="1">
      <c r="A40" s="4" t="n">
        <v>36</v>
      </c>
      <c r="B40" s="5" t="inlineStr">
        <is>
          <t>grand V — financement</t>
        </is>
      </c>
      <c r="C40" s="5" t="inlineStr">
        <is>
          <t>Investissement Québec</t>
        </is>
      </c>
      <c r="D40" s="5" t="inlineStr">
        <is>
          <t>Québec</t>
        </is>
      </c>
      <c r="E40" s="5" t="inlineStr">
        <is>
          <t>Hors piliers</t>
        </is>
      </c>
      <c r="F40" s="5" t="inlineStr">
        <is>
          <t>Prêt à terme</t>
        </is>
      </c>
      <c r="G40" s="11" t="inlineStr">
        <is>
          <t>Reporté</t>
        </is>
      </c>
      <c r="H40" s="7" t="n">
        <v>250000</v>
      </c>
      <c r="I40" s="7" t="n">
        <v>1000000</v>
      </c>
      <c r="J40" s="5" t="inlineStr">
        <is>
          <t>Capacité de crédit</t>
        </is>
      </c>
      <c r="K40" s="5" t="inlineStr">
        <is>
          <t>Ouvert en continu</t>
        </is>
      </c>
      <c r="L40" s="5" t="inlineStr">
        <is>
          <t>Après un exercice FY2027 positif</t>
        </is>
      </c>
      <c r="M40" s="5" t="inlineStr">
        <is>
          <t>FY28 T1</t>
        </is>
      </c>
      <c r="N40" s="5" t="inlineStr">
        <is>
          <t>Élevé</t>
        </is>
      </c>
      <c r="O40" s="8" t="inlineStr">
        <is>
          <t>Prêt MINIMUM de 250 000 $, moratoire de capital jusqu'à 48 mois. Devant -254 035 $ de capitaux propres et 584 320 $ de dette, l'analyse de crédit bloque.</t>
        </is>
      </c>
      <c r="P40" s="8" t="inlineStr">
        <is>
          <t>C'était le levier identifié pour remplacer Merchant Growth et Shopify Capital. Il reste le bon levier, mais pas avant un redressement.</t>
        </is>
      </c>
      <c r="Q40" s="9" t="inlineStr">
        <is>
          <t>https://grandv.investquebec.com/</t>
        </is>
      </c>
    </row>
    <row r="42">
      <c r="B42" s="12" t="inlineStr">
        <is>
          <t>Potentiel total, verdict « Admissible » seulement</t>
        </is>
      </c>
      <c r="H42" s="13">
        <f>SUMIF($G$5:$G$40,"Admissible",H5:H40)</f>
        <v>131550</v>
      </c>
      <c r="I42" s="13">
        <f>SUMIF($G$5:$G$40,"Admissible",I5:I40)</f>
        <v>590200</v>
      </c>
    </row>
    <row r="43">
      <c r="B43" s="12" t="inlineStr">
        <is>
          <t>Potentiel total, « Admissible » + « À valider »</t>
        </is>
      </c>
      <c r="H43" s="13">
        <f>SUMIF($G$5:$G$40,"Admissible",H5:H40)+SUMIF($G$5:$G$40,"À valider",H5:H40)</f>
        <v>446550</v>
      </c>
      <c r="I43" s="13">
        <f>SUMIF($G$5:$G$40,"Admissible",I5:I40)+SUMIF($G$5:$G$40,"À valider",I5:I40)</f>
        <v>3030200</v>
      </c>
    </row>
    <row r="44">
      <c r="B44" s="12" t="inlineStr">
        <is>
          <t>Dont admissible SANS aucune mise de fonds</t>
        </is>
      </c>
      <c r="H44" s="13">
        <f>SUMIFS(H5:H40,$G$5:$G$40,"Admissible",$J$5:$J$40,"Aucune")</f>
        <v>56400</v>
      </c>
      <c r="I44" s="13">
        <f>SUMIFS(I5:I40,$G$5:$G$40,"Admissible",$J$5:$J$40,"Aucune")</f>
        <v>199200</v>
      </c>
    </row>
    <row r="46">
      <c r="B46" s="14" t="inlineStr">
        <is>
          <t>Notes de lecture</t>
        </is>
      </c>
    </row>
    <row r="47" ht="26" customHeight="1">
      <c r="B47" s="15" t="inlineStr">
        <is>
          <t>• Montants min et max : fourchettes réalistes pour un dossier Lasclay, pas les plafonds théoriques des programmes. Ils servent à prioriser, pas à budgéter. Cas particulier du rang 5 (IQPH) : l'organisme ne publie aucun montant. La fourchette de 15 à 30 k$ est INFÉRÉE de son objectif public — 48 entreprises et 12 M$ d'investissements générés sur 6 ans, avec un effet de levier annoncé jusqu'à 10 fois — et doit être confirmée auprès d'eux.</t>
        </is>
      </c>
    </row>
    <row r="48" ht="26" customHeight="1">
      <c r="B48" s="15" t="inlineStr">
        <is>
          <t>• Verdicts : « Admissible » = tous les critères publiés sont rencontrés. « À valider » = un critère dépend d'un arbitrage, d'un cadrage ou d'une confirmation de l'organisme. « Reporté » = admissible sur papier, hors de portée financièrement aujourd'hui.</t>
        </is>
      </c>
    </row>
    <row r="49" ht="26" customHeight="1">
      <c r="B49" s="15" t="inlineStr">
        <is>
          <t>• La contrainte dominante n'est pas l'admissibilité, c'est la mise de fonds : trésorerie de -2 060 $ et marge EDC utilisée à 94,8 %. D'où la priorité donnée aux crédits d'impôt et aux subventions salariales, qui remboursent des dépenses déjà engagées.</t>
        </is>
      </c>
    </row>
    <row r="50" ht="26" customHeight="1">
      <c r="B50" s="15" t="inlineStr">
        <is>
          <t>• Colonne Pilier : le classement suit les quatre priorités de l'entreprise — mission, ventes, international, R&amp;D. Lasclay n'est plus manufacturier pour le moment, ce qui fait reculer tout ce qui repose sur l'achat d'équipement, la productivité d'usine ou le statut de secteur manufacturier : C3i, ESSOR, grand V, Primo-adoptants et DEC Expansion.</t>
        </is>
      </c>
    </row>
    <row r="51" ht="26" customHeight="1">
      <c r="B51" s="15" t="inlineStr">
        <is>
          <t>• Nuance à tenir : les livres portent encore 91 336 $ de salaires de production et 135 851 $ d'équipements en FY2026. Ne pas se déclarer manufacturier devant un programme et s'en réclamer devant un autre — choisir une version et la tenir.</t>
        </is>
      </c>
    </row>
    <row r="52" ht="26" customHeight="1">
      <c r="B52" s="15" t="inlineStr">
        <is>
          <t>• Colonne Pilier : le classement suit les quatre priorités de l'entreprise, soit mission, ventes, international et R&amp;D. Lasclay n'est plus manufacturier pour le moment, ce qui fait reculer tout ce qui repose sur l'achat d'équipement, la productivité d'usine ou le statut de secteur manufacturier : C3i, ESSOR, grand V, Primo-adoptants et DEC Expansion.</t>
        </is>
      </c>
    </row>
    <row r="53" ht="26" customHeight="1">
      <c r="B53" s="15" t="inlineStr">
        <is>
          <t>• Nuance à tenir : les livres portent encore 91 336 $ de salaires de production et 135 851 $ d'équipements en FY2026. Ne pas se déclarer non manufacturier devant un programme et s'en réclamer devant un autre. Choisir une version et la tenir.</t>
        </is>
      </c>
    </row>
    <row r="54" ht="26" customHeight="1">
      <c r="B54" s="15" t="inlineStr">
        <is>
          <t>• Sources vérifiées le 5 août 2026 aux sites officiels des organismes. Les statuts de programme changent sans préavis : revalider avant tout dépôt.</t>
        </is>
      </c>
    </row>
  </sheetData>
  <autoFilter ref="A4:Q40"/>
  <mergeCells count="10">
    <mergeCell ref="B52:I52"/>
    <mergeCell ref="B53:I53"/>
    <mergeCell ref="B48:I48"/>
    <mergeCell ref="B47:I47"/>
    <mergeCell ref="B51:I51"/>
    <mergeCell ref="B54:I54"/>
    <mergeCell ref="A2:Q2"/>
    <mergeCell ref="A1:Q1"/>
    <mergeCell ref="B49:I49"/>
    <mergeCell ref="B50:I5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46" customWidth="1" min="1" max="1"/>
    <col width="30" customWidth="1" min="2" max="2"/>
    <col width="13" customWidth="1" min="3" max="3"/>
    <col width="66" customWidth="1" min="4" max="4"/>
    <col width="42" customWidth="1" min="5" max="5"/>
    <col width="44" customWidth="1" min="6" max="6"/>
  </cols>
  <sheetData>
    <row r="1" ht="24" customHeight="1">
      <c r="A1" s="1" t="inlineStr">
        <is>
          <t>Écartés — et pourquoi</t>
        </is>
      </c>
    </row>
    <row r="2" ht="16" customHeight="1">
      <c r="A2" s="2" t="inlineStr">
        <is>
          <t>Conservé pour ne pas les réexaminer dans six mois. Les motifs sont des critères publiés, pas des jugements.</t>
        </is>
      </c>
    </row>
    <row r="4" ht="32" customHeight="1">
      <c r="A4" s="3" t="inlineStr">
        <is>
          <t>Programme ou famille</t>
        </is>
      </c>
      <c r="B4" s="3" t="inlineStr">
        <is>
          <t>Organisme</t>
        </is>
      </c>
      <c r="C4" s="3" t="inlineStr">
        <is>
          <t>Palier</t>
        </is>
      </c>
      <c r="D4" s="3" t="inlineStr">
        <is>
          <t>Motif d'exclusion (validé)</t>
        </is>
      </c>
      <c r="E4" s="3" t="inlineStr">
        <is>
          <t>Chiffre Lasclay opposé</t>
        </is>
      </c>
      <c r="F4" s="3" t="inlineStr">
        <is>
          <t>Reprendre un jour ?</t>
        </is>
      </c>
    </row>
    <row r="5" ht="46" customHeight="1">
      <c r="A5" s="8" t="inlineStr">
        <is>
          <t>CERI — Initiative régionale de réponse tarifaire</t>
        </is>
      </c>
      <c r="B5" s="8" t="inlineStr">
        <is>
          <t>Développement économique Canada</t>
        </is>
      </c>
      <c r="C5" s="8" t="inlineStr">
        <is>
          <t>Fédéral</t>
        </is>
      </c>
      <c r="D5" s="8" t="inlineStr">
        <is>
          <t>« Avoir généré un chiffre d'affaires de 2 M$ et plus durant le dernier exercice financier complété. […] Toute candidature ne remplissant pas les critères sera automatiquement rejetée. »</t>
        </is>
      </c>
      <c r="E5" s="8" t="inlineStr">
        <is>
          <t>FY2025 : 879 125 $. FY2026 : 1 081 908 $.</t>
        </is>
      </c>
      <c r="F5" s="8" t="inlineStr">
        <is>
          <t>Non. Mesure temporaire ; le seuil ne serait franchi qu'en août 2028, quand le programme n'existera plus.</t>
        </is>
      </c>
    </row>
    <row r="6" ht="46" customHeight="1">
      <c r="A6" s="8" t="inlineStr">
        <is>
          <t>FRONTIÈRE</t>
        </is>
      </c>
      <c r="B6" s="8" t="inlineStr">
        <is>
          <t>Investissement Québec</t>
        </is>
      </c>
      <c r="C6" s="8" t="inlineStr">
        <is>
          <t>Québec</t>
        </is>
      </c>
      <c r="D6" s="8" t="inlineStr">
        <is>
          <t>Revenus d'au moins 3 M$, rentabilité dans un des deux derniers exercices, ET dépôt fermé depuis le 31 mars 2026.</t>
        </is>
      </c>
      <c r="E6" s="8" t="inlineStr">
        <is>
          <t>Revenus 1 081 908 $ ; perte de 142 745 $ en FY2026.</t>
        </is>
      </c>
      <c r="F6" s="8" t="inlineStr">
        <is>
          <t>Non. Fermé et doublement non admissible.</t>
        </is>
      </c>
    </row>
    <row r="7" ht="46" customHeight="1">
      <c r="A7" s="8" t="inlineStr">
        <is>
          <t>Fonds Impulsion</t>
        </is>
      </c>
      <c r="B7" s="8" t="inlineStr">
        <is>
          <t>Investissement Québec</t>
        </is>
      </c>
      <c r="C7" s="8" t="inlineStr">
        <is>
          <t>Québec</t>
        </is>
      </c>
      <c r="D7" s="8" t="inlineStr">
        <is>
          <t>Exclut les entreprises ayant complété un premier cycle de commercialisation ou cumulé plus de 2 M$ de revenus sur trois exercices.</t>
        </is>
      </c>
      <c r="E7" s="8" t="inlineStr">
        <is>
          <t>Cumul FY2024-2026 : 2 465 959 $.</t>
        </is>
      </c>
      <c r="F7" s="8" t="inlineStr">
        <is>
          <t>Non. Programme d'amorçage.</t>
        </is>
      </c>
    </row>
    <row r="8" ht="46" customHeight="1">
      <c r="A8" s="8" t="inlineStr">
        <is>
          <t>Programme Créavenir</t>
        </is>
      </c>
      <c r="B8" s="8" t="inlineStr">
        <is>
          <t>Desjardins</t>
        </is>
      </c>
      <c r="C8" s="8" t="inlineStr">
        <is>
          <t>Québec</t>
        </is>
      </c>
      <c r="D8" s="8" t="inlineStr">
        <is>
          <t>Entreprise existant depuis moins de 3 ans.</t>
        </is>
      </c>
      <c r="E8" s="8" t="inlineStr">
        <is>
          <t>Lasclay : fondée en 2020.</t>
        </is>
      </c>
      <c r="F8" s="8" t="inlineStr">
        <is>
          <t>Non.</t>
        </is>
      </c>
    </row>
    <row r="9" ht="46" customHeight="1">
      <c r="A9" s="8" t="inlineStr">
        <is>
          <t>Bourse de démarrage et repreneuriat</t>
        </is>
      </c>
      <c r="B9" s="8" t="inlineStr">
        <is>
          <t>Ville de Québec</t>
        </is>
      </c>
      <c r="C9" s="8" t="inlineStr">
        <is>
          <t>Municipal</t>
        </is>
      </c>
      <c r="D9" s="8" t="inlineStr">
        <is>
          <t>Fenêtre de 24 mois avant la première vente significative jusqu'à cette date.</t>
        </is>
      </c>
      <c r="E9" s="8" t="inlineStr">
        <is>
          <t>Première vente significative en 2020.</t>
        </is>
      </c>
      <c r="F9" s="8" t="inlineStr">
        <is>
          <t>Non.</t>
        </is>
      </c>
    </row>
    <row r="10" ht="46" customHeight="1">
      <c r="A10" s="8" t="inlineStr">
        <is>
          <t>DÉFI-Québec, Ville entrepreneuriale</t>
        </is>
      </c>
      <c r="B10" s="8" t="inlineStr">
        <is>
          <t>Ville de Québec</t>
        </is>
      </c>
      <c r="C10" s="8" t="inlineStr">
        <is>
          <t>Municipal</t>
        </is>
      </c>
      <c r="D10" s="8" t="inlineStr">
        <is>
          <t>Fenêtre de 12 mois avant à 36 mois après la première vente significative.</t>
        </is>
      </c>
      <c r="E10" s="8" t="inlineStr">
        <is>
          <t>Hors fenêtre depuis 2023.</t>
        </is>
      </c>
      <c r="F10" s="8" t="inlineStr">
        <is>
          <t>Non.</t>
        </is>
      </c>
    </row>
    <row r="11" ht="46" customHeight="1">
      <c r="A11" s="8" t="inlineStr">
        <is>
          <t>Fonds d'investissement Eurêka</t>
        </is>
      </c>
      <c r="B11" s="8" t="inlineStr">
        <is>
          <t>Investissement Québec</t>
        </is>
      </c>
      <c r="C11" s="8" t="inlineStr">
        <is>
          <t>Québec</t>
        </is>
      </c>
      <c r="D11" s="8" t="inlineStr">
        <is>
          <t>Propriété intellectuelle devant être issue de la recherche publique québécoise.</t>
        </is>
      </c>
      <c r="E11" s="8" t="inlineStr">
        <is>
          <t>PI développée à l'interne, à l'atelier.</t>
        </is>
      </c>
      <c r="F11" s="8" t="inlineStr">
        <is>
          <t>Non.</t>
        </is>
      </c>
    </row>
    <row r="12" ht="46" customHeight="1">
      <c r="A12" s="8" t="inlineStr">
        <is>
          <t>Fonds de réponse stratégique (FRS)</t>
        </is>
      </c>
      <c r="B12" s="8" t="inlineStr">
        <is>
          <t>ISDE</t>
        </is>
      </c>
      <c r="C12" s="8" t="inlineStr">
        <is>
          <t>Fédéral</t>
        </is>
      </c>
      <c r="D12" s="8" t="inlineStr">
        <is>
          <t>Contribution minimale de 10 M$ pour un projet d'au moins 20 M$.</t>
        </is>
      </c>
      <c r="E12" s="8" t="inlineStr">
        <is>
          <t>Total des actifs : 414 753 $.</t>
        </is>
      </c>
      <c r="F12" s="8" t="inlineStr">
        <is>
          <t>Non. Hors échelle de deux ordres de grandeur.</t>
        </is>
      </c>
    </row>
    <row r="13" ht="46" customHeight="1">
      <c r="A13" s="8" t="inlineStr">
        <is>
          <t>Offensive de transformation numérique</t>
        </is>
      </c>
      <c r="B13" s="8" t="inlineStr">
        <is>
          <t>MEIE</t>
        </is>
      </c>
      <c r="C13" s="8" t="inlineStr">
        <is>
          <t>Québec</t>
        </is>
      </c>
      <c r="D13" s="8" t="inlineStr">
        <is>
          <t>« Les projets déposés par des entreprises à but lucratif (à titre d'organisme demandeur) » ne sont pas admissibles.</t>
        </is>
      </c>
      <c r="E13" s="8" t="inlineStr">
        <is>
          <t>Lasclay est à but lucratif.</t>
        </is>
      </c>
      <c r="F13" s="8" t="inlineStr">
        <is>
          <t>Indirectement, si une association sectorielle porte un projet collectif.</t>
        </is>
      </c>
    </row>
    <row r="14" ht="46" customHeight="1">
      <c r="A14" s="8" t="inlineStr">
        <is>
          <t>Fonds Écoleader — Soutien à l'implantation</t>
        </is>
      </c>
      <c r="B14" s="8" t="inlineStr">
        <is>
          <t>FAQDD</t>
        </is>
      </c>
      <c r="C14" s="8" t="inlineStr">
        <is>
          <t>Québec</t>
        </is>
      </c>
      <c r="D14" s="8" t="inlineStr">
        <is>
          <t>Enveloppe DEC de janvier 2025 écoulée : « il n'est plus possible de déposer une demande ».</t>
        </is>
      </c>
      <c r="E14" s="8" t="inlineStr">
        <is>
          <t>—</t>
        </is>
      </c>
      <c r="F14" s="8" t="inlineStr">
        <is>
          <t>Remplacé par le volet Biodiversité, au rang 14 du plan.</t>
        </is>
      </c>
    </row>
    <row r="15" ht="46" customHeight="1">
      <c r="A15" s="8" t="inlineStr">
        <is>
          <t>Recyc-Québec — Écoconception</t>
        </is>
      </c>
      <c r="B15" s="8" t="inlineStr">
        <is>
          <t>Recyc-Québec</t>
        </is>
      </c>
      <c r="C15" s="8" t="inlineStr">
        <is>
          <t>Québec</t>
        </is>
      </c>
      <c r="D15" s="8" t="inlineStr">
        <is>
          <t>Appel de propositions clos.</t>
        </is>
      </c>
      <c r="E15" s="8" t="inlineStr">
        <is>
          <t>—</t>
        </is>
      </c>
      <c r="F15" s="16" t="inlineStr">
        <is>
          <t>Oui. Surveiller la prochaine édition ; l'attestation ICI on recycle + est un prérequis.</t>
        </is>
      </c>
    </row>
    <row r="16" ht="46" customHeight="1">
      <c r="A16" s="8" t="inlineStr">
        <is>
          <t>PRIMA, CRITM, CQRDA, CRIAQ, CRIBIQ, InnovÉÉ, PROMPT, MEDTEQ+, CQDM (environ 40 programmes)</t>
        </is>
      </c>
      <c r="B16" s="8" t="inlineStr">
        <is>
          <t>Consortiums sectoriels</t>
        </is>
      </c>
      <c r="C16" s="8" t="inlineStr">
        <is>
          <t>Québec</t>
        </is>
      </c>
      <c r="D16" s="8" t="inlineStr">
        <is>
          <t>Filières hors périmètre — métallurgie, aluminium, aérospatiale, bioprocédés industriels, énergie, télécoms, technologies médicales, médicament — et partenariat de recherche formel exigé.</t>
        </is>
      </c>
      <c r="E16" s="8" t="inlineStr">
        <is>
          <t>—</t>
        </is>
      </c>
      <c r="F16" s="8" t="inlineStr">
        <is>
          <t>Seulement si un partenariat de recherche universitaire émerge sur la fibre.</t>
        </is>
      </c>
    </row>
    <row r="17" ht="46" customHeight="1">
      <c r="A17" s="8" t="inlineStr">
        <is>
          <t>Minéraux critiques, domaine minier, construction bois, pneus hors d'usage, biomasse forestière</t>
        </is>
      </c>
      <c r="B17" s="8" t="inlineStr">
        <is>
          <t>MRNF et divers</t>
        </is>
      </c>
      <c r="C17" s="8" t="inlineStr">
        <is>
          <t>Québec</t>
        </is>
      </c>
      <c r="D17" s="8" t="inlineStr">
        <is>
          <t>Filières hors périmètre.</t>
        </is>
      </c>
      <c r="E17" s="8" t="inlineStr">
        <is>
          <t>—</t>
        </is>
      </c>
      <c r="F17" s="8" t="inlineStr">
        <is>
          <t>Non.</t>
        </is>
      </c>
    </row>
    <row r="18" ht="46" customHeight="1">
      <c r="A18" s="8" t="inlineStr">
        <is>
          <t>Technoclimat, Écocharge, Hydro-Québec (3 programmes)</t>
        </is>
      </c>
      <c r="B18" s="8" t="inlineStr">
        <is>
          <t>Transition énergétique et Hydro-Québec</t>
        </is>
      </c>
      <c r="C18" s="8" t="inlineStr">
        <is>
          <t>Québec</t>
        </is>
      </c>
      <c r="D18" s="8" t="inlineStr">
        <is>
          <t>Ciblent la réduction des GES, l'efficacité énergétique, les bornes de recharge et les projets immobiliers de plus de 50 000 m².</t>
        </is>
      </c>
      <c r="E18" s="8" t="inlineStr">
        <is>
          <t>—</t>
        </is>
      </c>
      <c r="F18" s="8" t="inlineStr">
        <is>
          <t>Non.</t>
        </is>
      </c>
    </row>
    <row r="19" ht="46" customHeight="1">
      <c r="A19" s="8" t="inlineStr">
        <is>
          <t>MAPAQ (PADAAR, Innovation bioalimentaire), AAC (Agri-science, priorités stratégiques), FADQ</t>
        </is>
      </c>
      <c r="B19" s="8" t="inlineStr">
        <is>
          <t>MAPAQ, AAC, FADQ</t>
        </is>
      </c>
      <c r="C19" s="8" t="inlineStr">
        <is>
          <t>Québec et fédéral</t>
        </is>
      </c>
      <c r="D19" s="8" t="inlineStr">
        <is>
          <t>Réservés aux entreprises agricoles enregistrées, aux établissements de recherche ou aux regroupements de producteurs.</t>
        </is>
      </c>
      <c r="E19" s="8" t="inlineStr">
        <is>
          <t>Lasclay achète l'asclépiade, ne la cultive pas.</t>
        </is>
      </c>
      <c r="F19" s="16" t="inlineStr">
        <is>
          <t>OUI — c'est l'exception à surveiller. Ces enveloppes deviendraient accessibles via un regroupement de producteurs d'asclépiade, ou si Lasclay développait une production primaire.</t>
        </is>
      </c>
    </row>
    <row r="20" ht="46" customHeight="1">
      <c r="A20" s="8" t="inlineStr">
        <is>
          <t>SODEC — Aide aux initiatives innovantes</t>
        </is>
      </c>
      <c r="B20" s="8" t="inlineStr">
        <is>
          <t>SODEC</t>
        </is>
      </c>
      <c r="C20" s="8" t="inlineStr">
        <is>
          <t>Québec</t>
        </is>
      </c>
      <c r="D20" s="8" t="inlineStr">
        <is>
          <t>Réservé aux entreprises culturelles.</t>
        </is>
      </c>
      <c r="E20" s="8" t="inlineStr">
        <is>
          <t>—</t>
        </is>
      </c>
      <c r="F20" s="8" t="inlineStr">
        <is>
          <t>Non.</t>
        </is>
      </c>
    </row>
    <row r="21" ht="46" customHeight="1">
      <c r="A21" s="8" t="inlineStr">
        <is>
          <t>Programme des entrepreneurs — Volet 1</t>
        </is>
      </c>
      <c r="B21" s="8" t="inlineStr">
        <is>
          <t>MIFI</t>
        </is>
      </c>
      <c r="C21" s="8" t="inlineStr">
        <is>
          <t>Québec</t>
        </is>
      </c>
      <c r="D21" s="8" t="inlineStr">
        <is>
          <t>Programme d'immigration économique.</t>
        </is>
      </c>
      <c r="E21" s="8" t="inlineStr">
        <is>
          <t>—</t>
        </is>
      </c>
      <c r="F21" s="8" t="inlineStr">
        <is>
          <t>Non.</t>
        </is>
      </c>
    </row>
    <row r="22" ht="46" customHeight="1">
      <c r="A22" s="8" t="inlineStr">
        <is>
          <t>PME MTL, Laval Économique, DEL Longueuil, ID Gatineau, Papineau-Collines, SADC (environ 20 programmes)</t>
        </is>
      </c>
      <c r="B22" s="8" t="inlineStr">
        <is>
          <t>Organismes régionaux</t>
        </is>
      </c>
      <c r="C22" s="8" t="inlineStr">
        <is>
          <t>Municipal</t>
        </is>
      </c>
      <c r="D22" s="8" t="inlineStr">
        <is>
          <t>Territoire : réservés à leur agglomération.</t>
        </is>
      </c>
      <c r="E22" s="8" t="inlineStr">
        <is>
          <t>Siège au 1286 av. de la Ronde, Québec.</t>
        </is>
      </c>
      <c r="F22" s="8" t="inlineStr">
        <is>
          <t>Non.</t>
        </is>
      </c>
    </row>
    <row r="23" ht="46" customHeight="1">
      <c r="A23" s="8" t="inlineStr">
        <is>
          <t>88 programmes du répertoire Innoveici</t>
        </is>
      </c>
      <c r="B23" s="8" t="inlineStr">
        <is>
          <t>Divers</t>
        </is>
      </c>
      <c r="C23" s="8" t="inlineStr">
        <is>
          <t>Divers</t>
        </is>
      </c>
      <c r="D23" s="8" t="inlineStr">
        <is>
          <t>N'acceptaient pas de demandes au 5 août 2026.</t>
        </is>
      </c>
      <c r="E23" s="8" t="inlineStr">
        <is>
          <t>—</t>
        </is>
      </c>
      <c r="F23" s="16" t="inlineStr">
        <is>
          <t>OUI. Rebalayer en janvier 2027 ; plusieurs rouvrent par appels de projets.</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6" customWidth="1" min="3" max="3"/>
    <col width="36" customWidth="1" min="4" max="4"/>
    <col width="20" customWidth="1" min="5" max="5"/>
    <col width="50" customWidth="1" min="6" max="6"/>
  </cols>
  <sheetData>
    <row r="1" ht="24" customHeight="1">
      <c r="A1" s="1" t="inlineStr">
        <is>
          <t>Calendrier des fenêtres — août 2026 à août 2028</t>
        </is>
      </c>
    </row>
    <row r="2" ht="16" customHeight="1">
      <c r="A2" s="2" t="inlineStr">
        <is>
          <t>Exercice Lasclay : 1er septembre au 31 août. Les dates en jaune sont des points de non-retour.</t>
        </is>
      </c>
    </row>
    <row r="4" ht="32" customHeight="1">
      <c r="A4" s="3" t="inlineStr">
        <is>
          <t>Échéance</t>
        </is>
      </c>
      <c r="B4" s="3" t="inlineStr">
        <is>
          <t>Exercice / trimestre</t>
        </is>
      </c>
      <c r="C4" s="3" t="inlineStr">
        <is>
          <t>Action</t>
        </is>
      </c>
      <c r="D4" s="3" t="inlineStr">
        <is>
          <t>Programme</t>
        </is>
      </c>
      <c r="E4" s="3" t="inlineStr">
        <is>
          <t>Type d'échéance</t>
        </is>
      </c>
      <c r="F4" s="3" t="inlineStr">
        <is>
          <t>Conséquence si manqué</t>
        </is>
      </c>
    </row>
    <row r="5" ht="32" customHeight="1">
      <c r="A5" s="17" t="inlineStr">
        <is>
          <t>2 SEPTEMBRE 2026, 23 h 59</t>
        </is>
      </c>
      <c r="B5" s="17" t="inlineStr">
        <is>
          <t>FY2026 — clôture</t>
        </is>
      </c>
      <c r="C5" s="17" t="inlineStr">
        <is>
          <t>Redéposer la candidature TELUS #AidonsNosPME. Le dossier gagnant existe déjà, l'effort est faible et il n'y a aucune mise de fonds</t>
        </is>
      </c>
      <c r="D5" s="17" t="inlineStr">
        <is>
          <t>TELUS #AidonsNosPME</t>
        </is>
      </c>
      <c r="E5" s="17" t="inlineStr">
        <is>
          <t>LIMITE FERME</t>
        </is>
      </c>
      <c r="F5" s="17" t="inlineStr">
        <is>
          <t>Prochaine édition dans un an. Jusqu'à 125 000 $ et un prix du public de 25 000 $ par vote.</t>
        </is>
      </c>
    </row>
    <row r="6" ht="32" customHeight="1">
      <c r="A6" s="8" t="inlineStr">
        <is>
          <t>31 août 2026, 12 h</t>
        </is>
      </c>
      <c r="B6" s="8" t="inlineStr">
        <is>
          <t>FY2026 — clôture</t>
        </is>
      </c>
      <c r="C6" s="8" t="inlineStr">
        <is>
          <t>Décider : déposer CanExport PME maintenant pour un marché européen, ou bâtir le dossier pour février 2027</t>
        </is>
      </c>
      <c r="D6" s="8" t="inlineStr">
        <is>
          <t>CanExport PME</t>
        </is>
      </c>
      <c r="E6" s="8" t="inlineStr">
        <is>
          <t>Fermeture d'appel</t>
        </is>
      </c>
      <c r="F6" s="8" t="inlineStr"/>
    </row>
    <row r="7" ht="32" customHeight="1">
      <c r="A7" s="8" t="inlineStr">
        <is>
          <t>31 août 2026</t>
        </is>
      </c>
      <c r="B7" s="8" t="inlineStr">
        <is>
          <t>FY2026 — clôture</t>
        </is>
      </c>
      <c r="C7" s="8" t="inlineStr">
        <is>
          <t>Clôture de l'exercice FY2026</t>
        </is>
      </c>
      <c r="D7" s="8" t="inlineStr">
        <is>
          <t>—</t>
        </is>
      </c>
      <c r="E7" s="8" t="inlineStr">
        <is>
          <t>Comptable</t>
        </is>
      </c>
      <c r="F7" s="8" t="inlineStr"/>
    </row>
    <row r="8" ht="32" customHeight="1">
      <c r="A8" s="8" t="inlineStr">
        <is>
          <t>Août 2026</t>
        </is>
      </c>
      <c r="B8" s="8" t="inlineStr">
        <is>
          <t>Immédiat</t>
        </is>
      </c>
      <c r="C8" s="8" t="inlineStr">
        <is>
          <t>Confirmer avec le comptable si la réclamation RS&amp;DE de FY2025 a été produite</t>
        </is>
      </c>
      <c r="D8" s="8" t="inlineStr">
        <is>
          <t>RS&amp;DE / CRIC</t>
        </is>
      </c>
      <c r="E8" s="8" t="inlineStr">
        <is>
          <t>Vérification</t>
        </is>
      </c>
      <c r="F8" s="8" t="inlineStr">
        <is>
          <t>Perte définitive du crédit après le 28 février 2027</t>
        </is>
      </c>
    </row>
    <row r="9" ht="32" customHeight="1">
      <c r="A9" s="8" t="inlineStr">
        <is>
          <t>Sept — nov 2026</t>
        </is>
      </c>
      <c r="B9" s="8" t="inlineStr">
        <is>
          <t>FY2027 T1</t>
        </is>
      </c>
      <c r="C9" s="8" t="inlineStr">
        <is>
          <t>Produire la réclamation RS&amp;DE et CRIC de FY2026 dans la foulée des états financiers</t>
        </is>
      </c>
      <c r="D9" s="8" t="inlineStr">
        <is>
          <t>RS&amp;DE / CRIC</t>
        </is>
      </c>
      <c r="E9" s="8" t="inlineStr">
        <is>
          <t>Dépôt</t>
        </is>
      </c>
      <c r="F9" s="8" t="inlineStr"/>
    </row>
    <row r="10" ht="32" customHeight="1">
      <c r="A10" s="8" t="inlineStr">
        <is>
          <t>Sept — nov 2026</t>
        </is>
      </c>
      <c r="B10" s="8" t="inlineStr">
        <is>
          <t>FY2027 T1</t>
        </is>
      </c>
      <c r="C10" s="8" t="inlineStr">
        <is>
          <t>Déposer la candidature : business model canvas, sommaire exécutif, extrait du registre des entreprises et CV, à candidature@iqph.org</t>
        </is>
      </c>
      <c r="D10" s="8" t="inlineStr">
        <is>
          <t>Prêt d'honneur IQPH</t>
        </is>
      </c>
      <c r="E10" s="8" t="inlineStr">
        <is>
          <t>Dépôt en continu</t>
        </is>
      </c>
      <c r="F10" s="8" t="inlineStr">
        <is>
          <t>Sans intérêt et sans garantie — aucune autre source de la liste n'offre ça</t>
        </is>
      </c>
    </row>
    <row r="11" ht="32" customHeight="1">
      <c r="A11" s="8" t="inlineStr">
        <is>
          <t>Sept — nov 2026</t>
        </is>
      </c>
      <c r="B11" s="8" t="inlineStr">
        <is>
          <t>FY2027 T1</t>
        </is>
      </c>
      <c r="C11" s="8" t="inlineStr">
        <is>
          <t>Demander un conseiller CTI et poser d'emblée la question de l'arbitrage avec la RS&amp;DE</t>
        </is>
      </c>
      <c r="D11" s="8" t="inlineStr">
        <is>
          <t>PARI-CNRC</t>
        </is>
      </c>
      <c r="E11" s="8" t="inlineStr">
        <is>
          <t>Premier contact</t>
        </is>
      </c>
      <c r="F11" s="8" t="inlineStr"/>
    </row>
    <row r="12" ht="32" customHeight="1">
      <c r="A12" s="8" t="inlineStr">
        <is>
          <t>Sept — nov 2026</t>
        </is>
      </c>
      <c r="B12" s="8" t="inlineStr">
        <is>
          <t>FY2027 T1</t>
        </is>
      </c>
      <c r="C12" s="8" t="inlineStr">
        <is>
          <t>Un seul appel à Services Québec pour couvrir les trois mesures (emploi, formation, GRH)</t>
        </is>
      </c>
      <c r="D12" s="8" t="inlineStr">
        <is>
          <t>Services Québec</t>
        </is>
      </c>
      <c r="E12" s="8" t="inlineStr">
        <is>
          <t>Premier contact</t>
        </is>
      </c>
      <c r="F12" s="8" t="inlineStr"/>
    </row>
    <row r="13" ht="32" customHeight="1">
      <c r="A13" s="8" t="inlineStr">
        <is>
          <t>Sept — nov 2026</t>
        </is>
      </c>
      <c r="B13" s="8" t="inlineStr">
        <is>
          <t>FY2027 T1</t>
        </is>
      </c>
      <c r="C13" s="8" t="inlineStr">
        <is>
          <t>Faire trancher par la Ville : l'enveloppe Capitale-Innovation est-elle disponible ou en attente du renouvellement de l'entente ?</t>
        </is>
      </c>
      <c r="D13" s="8" t="inlineStr">
        <is>
          <t>Capitale-Innovation</t>
        </is>
      </c>
      <c r="E13" s="8" t="inlineStr">
        <is>
          <t>Vérification</t>
        </is>
      </c>
      <c r="F13" s="8" t="inlineStr">
        <is>
          <t>Un dossier de 500 k$ monté pour rien</t>
        </is>
      </c>
    </row>
    <row r="14" ht="32" customHeight="1">
      <c r="A14" s="8" t="inlineStr">
        <is>
          <t>~11 mars 2027</t>
        </is>
      </c>
      <c r="B14" s="8" t="inlineStr">
        <is>
          <t>FY2027 T3</t>
        </is>
      </c>
      <c r="C14" s="8" t="inlineStr">
        <is>
          <t>Déposer au volet Réussite inc. — prix national de 25 000 $ — et aux Phénix de l'environnement, dépôt avant le 8 mars</t>
        </is>
      </c>
      <c r="D14" s="8" t="inlineStr">
        <is>
          <t>OSEntreprendre et Phénix</t>
        </is>
      </c>
      <c r="E14" s="8" t="inlineStr">
        <is>
          <t>Fermeture d'appel</t>
        </is>
      </c>
      <c r="F14" s="8" t="inlineStr">
        <is>
          <t>Cycle annuel ; report d'un an</t>
        </is>
      </c>
    </row>
    <row r="15" ht="32" customHeight="1">
      <c r="A15" s="8" t="inlineStr">
        <is>
          <t>~11 décembre 2026</t>
        </is>
      </c>
      <c r="B15" s="8" t="inlineStr">
        <is>
          <t>FY2027 T2</t>
        </is>
      </c>
      <c r="C15" s="8" t="inlineStr">
        <is>
          <t>Déposer la demande pour l'été 2027</t>
        </is>
      </c>
      <c r="D15" s="8" t="inlineStr">
        <is>
          <t>Emplois d'été Canada</t>
        </is>
      </c>
      <c r="E15" s="8" t="inlineStr">
        <is>
          <t>Fermeture d'appel</t>
        </is>
      </c>
      <c r="F15" s="8" t="inlineStr">
        <is>
          <t>Report d'un an complet</t>
        </is>
      </c>
    </row>
    <row r="16" ht="32" customHeight="1">
      <c r="A16" s="8" t="inlineStr">
        <is>
          <t>~4 février 2027</t>
        </is>
      </c>
      <c r="B16" s="8" t="inlineStr">
        <is>
          <t>FY2027 T2</t>
        </is>
      </c>
      <c r="C16" s="8" t="inlineStr">
        <is>
          <t>Déposer dès les premiers jours : premier arrivé, premier servi</t>
        </is>
      </c>
      <c r="D16" s="8" t="inlineStr">
        <is>
          <t>CanExport PME 2027-28</t>
        </is>
      </c>
      <c r="E16" s="8" t="inlineStr">
        <is>
          <t>Ouverture d'appel</t>
        </is>
      </c>
      <c r="F16" s="8" t="inlineStr">
        <is>
          <t>Épuisement de l'enveloppe en cours d'exercice</t>
        </is>
      </c>
    </row>
    <row r="17" ht="32" customHeight="1">
      <c r="A17" s="17" t="inlineStr">
        <is>
          <t>28 FÉVRIER 2027</t>
        </is>
      </c>
      <c r="B17" s="17" t="inlineStr">
        <is>
          <t>FY2027 T2</t>
        </is>
      </c>
      <c r="C17" s="17" t="inlineStr">
        <is>
          <t>DATE LIMITE ABSOLUE de production de la réclamation RS&amp;DE pour FY2025</t>
        </is>
      </c>
      <c r="D17" s="17" t="inlineStr">
        <is>
          <t>RS&amp;DE FY2025</t>
        </is>
      </c>
      <c r="E17" s="17" t="inlineStr">
        <is>
          <t>LIMITE FERME</t>
        </is>
      </c>
      <c r="F17" s="17" t="inlineStr">
        <is>
          <t>Perte définitive. L'ARC n'a aucun pouvoir discrétionnaire.</t>
        </is>
      </c>
    </row>
    <row r="18" ht="32" customHeight="1">
      <c r="A18" s="8" t="inlineStr">
        <is>
          <t>Déc 2026 — fév 2027</t>
        </is>
      </c>
      <c r="B18" s="8" t="inlineStr">
        <is>
          <t>FY2027 T2</t>
        </is>
      </c>
      <c r="C18" s="8" t="inlineStr">
        <is>
          <t>Déposer les subventions salariales de stage pour l'hiver et l'été</t>
        </is>
      </c>
      <c r="D18" s="8" t="inlineStr">
        <is>
          <t>PSPE et Riipen</t>
        </is>
      </c>
      <c r="E18" s="8" t="inlineStr">
        <is>
          <t>Par trimestre</t>
        </is>
      </c>
      <c r="F18" s="8" t="inlineStr"/>
    </row>
    <row r="19" ht="32" customHeight="1">
      <c r="A19" s="8" t="inlineStr">
        <is>
          <t>Mars — août 2027</t>
        </is>
      </c>
      <c r="B19" s="8" t="inlineStr">
        <is>
          <t>FY2027 T3-T4</t>
        </is>
      </c>
      <c r="C19" s="8" t="inlineStr">
        <is>
          <t>Monter le dossier DEC Expansion en le cadrant comme manufacturier, pas comme commerce en ligne</t>
        </is>
      </c>
      <c r="D19" s="8" t="inlineStr">
        <is>
          <t>CERI Expansion</t>
        </is>
      </c>
      <c r="E19" s="8" t="inlineStr">
        <is>
          <t>Dépôt en continu</t>
        </is>
      </c>
      <c r="F19" s="8" t="inlineStr"/>
    </row>
    <row r="20" ht="32" customHeight="1">
      <c r="A20" s="8" t="inlineStr">
        <is>
          <t>Mars — août 2027</t>
        </is>
      </c>
      <c r="B20" s="8" t="inlineStr">
        <is>
          <t>FY2027 T3</t>
        </is>
      </c>
      <c r="C20" s="8" t="inlineStr">
        <is>
          <t>Demander l'accompagnement technologique seul, sans le volet financement</t>
        </is>
      </c>
      <c r="D20" s="8" t="inlineStr">
        <is>
          <t>grand V</t>
        </is>
      </c>
      <c r="E20" s="8" t="inlineStr">
        <is>
          <t>Dépôt en continu</t>
        </is>
      </c>
      <c r="F20" s="8" t="inlineStr"/>
    </row>
    <row r="21" ht="32" customHeight="1">
      <c r="A21" s="8" t="inlineStr">
        <is>
          <t>Mensuel, à partir de sept 2026</t>
        </is>
      </c>
      <c r="B21" s="8" t="inlineStr">
        <is>
          <t>FY2027 — continu</t>
        </is>
      </c>
      <c r="C21" s="8" t="inlineStr">
        <is>
          <t>Relancer le FAQDD au 418 692-5888 jusqu'à publication des modalités</t>
        </is>
      </c>
      <c r="D21" s="8" t="inlineStr">
        <is>
          <t>Écoleader Biodiversité</t>
        </is>
      </c>
      <c r="E21" s="8" t="inlineStr">
        <is>
          <t>Veille active</t>
        </is>
      </c>
      <c r="F21" s="8" t="inlineStr">
        <is>
          <t>Enveloppe de 5,7 M$ épuisée avant d'avoir déposé</t>
        </is>
      </c>
    </row>
    <row r="22" ht="32" customHeight="1">
      <c r="A22" s="8" t="inlineStr">
        <is>
          <t>Mars — août 2027</t>
        </is>
      </c>
      <c r="B22" s="8" t="inlineStr">
        <is>
          <t>FY2027 T3</t>
        </is>
      </c>
      <c r="C22" s="8" t="inlineStr">
        <is>
          <t>Monter un stage de caractérisation de la fibre en laboratoire</t>
        </is>
      </c>
      <c r="D22" s="8" t="inlineStr">
        <is>
          <t>Mitacs</t>
        </is>
      </c>
      <c r="E22" s="8" t="inlineStr">
        <is>
          <t>Dépôt en continu</t>
        </is>
      </c>
      <c r="F22" s="8" t="inlineStr"/>
    </row>
    <row r="23" ht="32" customHeight="1">
      <c r="A23" s="8" t="inlineStr">
        <is>
          <t>Sept — nov 2027</t>
        </is>
      </c>
      <c r="B23" s="8" t="inlineStr">
        <is>
          <t>FY2028 T1</t>
        </is>
      </c>
      <c r="C23" s="8" t="inlineStr">
        <is>
          <t>Produire la réclamation RS&amp;DE et CRIC de FY2027 dès la clôture</t>
        </is>
      </c>
      <c r="D23" s="8" t="inlineStr">
        <is>
          <t>RS&amp;DE / CRIC</t>
        </is>
      </c>
      <c r="E23" s="8" t="inlineStr">
        <is>
          <t>Dépôt</t>
        </is>
      </c>
      <c r="F23" s="8" t="inlineStr">
        <is>
          <t>Le réflexe doit devenir annuel</t>
        </is>
      </c>
    </row>
    <row r="24" ht="32" customHeight="1">
      <c r="A24" s="8" t="inlineStr">
        <is>
          <t>Sept — nov 2027</t>
        </is>
      </c>
      <c r="B24" s="8" t="inlineStr">
        <is>
          <t>FY2028 T1</t>
        </is>
      </c>
      <c r="C24" s="8" t="inlineStr">
        <is>
          <t>Rouvrir le dossier IQ si FY2027 revient au positif : grand V, ESSOR volet 2</t>
        </is>
      </c>
      <c r="D24" s="8" t="inlineStr">
        <is>
          <t>Investissement Québec</t>
        </is>
      </c>
      <c r="E24" s="8" t="inlineStr">
        <is>
          <t>Réévaluation</t>
        </is>
      </c>
      <c r="F24" s="8" t="inlineStr"/>
    </row>
    <row r="25" ht="32" customHeight="1">
      <c r="A25" s="8" t="inlineStr">
        <is>
          <t>~Février 2028</t>
        </is>
      </c>
      <c r="B25" s="8" t="inlineStr">
        <is>
          <t>FY2028 T2</t>
        </is>
      </c>
      <c r="C25" s="8" t="inlineStr">
        <is>
          <t>Déposer sur un deuxième marché européen si le premier a produit des résultats</t>
        </is>
      </c>
      <c r="D25" s="8" t="inlineStr">
        <is>
          <t>CanExport PME 2028-29</t>
        </is>
      </c>
      <c r="E25" s="8" t="inlineStr">
        <is>
          <t>Ouverture d'appel</t>
        </is>
      </c>
      <c r="F25" s="8" t="inlineStr"/>
    </row>
    <row r="26" ht="32" customHeight="1">
      <c r="A26" s="17" t="inlineStr">
        <is>
          <t>28 FÉVRIER 2028</t>
        </is>
      </c>
      <c r="B26" s="17" t="inlineStr">
        <is>
          <t>FY2028 T2</t>
        </is>
      </c>
      <c r="C26" s="17" t="inlineStr">
        <is>
          <t>DATE LIMITE ABSOLUE de production de la réclamation RS&amp;DE pour FY2026</t>
        </is>
      </c>
      <c r="D26" s="17" t="inlineStr">
        <is>
          <t>RS&amp;DE FY2026</t>
        </is>
      </c>
      <c r="E26" s="17" t="inlineStr">
        <is>
          <t>LIMITE FERME</t>
        </is>
      </c>
      <c r="F26" s="17" t="inlineStr">
        <is>
          <t>Perte définitive de 45 k$ à 70 k$.</t>
        </is>
      </c>
    </row>
    <row r="27" ht="32" customHeight="1">
      <c r="A27" s="8" t="inlineStr">
        <is>
          <t>Mars — août 2028</t>
        </is>
      </c>
      <c r="B27" s="8" t="inlineStr">
        <is>
          <t>FY2028 T3</t>
        </is>
      </c>
      <c r="C27" s="8" t="inlineStr">
        <is>
          <t>Déposer Capitale-Innovation si l'entente est renouvelée et la trésorerie reconstituée</t>
        </is>
      </c>
      <c r="D27" s="8" t="inlineStr">
        <is>
          <t>Capitale-Innovation</t>
        </is>
      </c>
      <c r="E27" s="8" t="inlineStr">
        <is>
          <t>Dépôt</t>
        </is>
      </c>
      <c r="F27" s="8" t="inlineStr">
        <is>
          <t>C'est le dossier de fin de plan, pas de début</t>
        </is>
      </c>
    </row>
    <row r="28" ht="32" customHeight="1">
      <c r="A28" s="8" t="inlineStr">
        <is>
          <t>Mars — août 2028</t>
        </is>
      </c>
      <c r="B28" s="8" t="inlineStr">
        <is>
          <t>FY2028 T3</t>
        </is>
      </c>
      <c r="C28" s="8" t="inlineStr">
        <is>
          <t>Financer les études de faisabilité en amont d'un projet d'équipement</t>
        </is>
      </c>
      <c r="D28" s="8" t="inlineStr">
        <is>
          <t>ESSOR volet 1</t>
        </is>
      </c>
      <c r="E28" s="8" t="inlineStr">
        <is>
          <t>Dépôt en continu</t>
        </is>
      </c>
      <c r="F28" s="8" t="inlineStr"/>
    </row>
    <row r="29" ht="32" customHeight="1">
      <c r="A29" s="8" t="inlineStr">
        <is>
          <t>Août 2028</t>
        </is>
      </c>
      <c r="B29" s="8" t="inlineStr">
        <is>
          <t>FY2028 — clôture</t>
        </is>
      </c>
      <c r="C29" s="8" t="inlineStr">
        <is>
          <t>Revalider le seuil de 2 M$ : une catégorie entière de programmes fédéraux s'ouvre au-delà</t>
        </is>
      </c>
      <c r="D29" s="8" t="inlineStr">
        <is>
          <t>Divers fédéral</t>
        </is>
      </c>
      <c r="E29" s="8" t="inlineStr">
        <is>
          <t>Jalon</t>
        </is>
      </c>
      <c r="F29" s="8" t="inlineStr"/>
    </row>
    <row r="30" ht="32" customHeight="1">
      <c r="A30" s="8" t="inlineStr">
        <is>
          <t>Trimestriel, dès sept 2026</t>
        </is>
      </c>
      <c r="B30" s="8" t="inlineStr">
        <is>
          <t>FY2027 — continu</t>
        </is>
      </c>
      <c r="C30" s="8" t="inlineStr">
        <is>
          <t>Vérifier la réouverture du PSCE volet 2, et s'il a été remplacé par un autre véhicule d'aide à l'export</t>
        </is>
      </c>
      <c r="D30" s="8" t="inlineStr">
        <is>
          <t>PSCE volet 2</t>
        </is>
      </c>
      <c r="E30" s="8" t="inlineStr">
        <is>
          <t>Veille active</t>
        </is>
      </c>
      <c r="F30" s="8" t="inlineStr">
        <is>
          <t>60 000 $ non remboursables ; Lasclay vient tout juste de franchir le seuil de 1 M$</t>
        </is>
      </c>
    </row>
    <row r="31" ht="32" customHeight="1">
      <c r="A31" s="8" t="inlineStr">
        <is>
          <t>Trimestriel, dès sept 2026</t>
        </is>
      </c>
      <c r="B31" s="8" t="inlineStr">
        <is>
          <t>FY2027 — continu</t>
        </is>
      </c>
      <c r="C31" s="8" t="inlineStr">
        <is>
          <t>Vérifier la réouverture du PSCE volet 2, et s'il a été remplacé par un autre véhicule d'aide à l'export</t>
        </is>
      </c>
      <c r="D31" s="8" t="inlineStr">
        <is>
          <t>PSCE volet 2</t>
        </is>
      </c>
      <c r="E31" s="8" t="inlineStr">
        <is>
          <t>Veille active</t>
        </is>
      </c>
      <c r="F31" s="8" t="inlineStr">
        <is>
          <t>60 000 $ non remboursables ; le seuil de 1 M$ vient tout juste d'être franchi</t>
        </is>
      </c>
    </row>
    <row r="32" ht="32" customHeight="1">
      <c r="A32" s="8" t="inlineStr">
        <is>
          <t>Janvier 2027, puis janvier 2028</t>
        </is>
      </c>
      <c r="B32" s="8" t="inlineStr">
        <is>
          <t>Annuel</t>
        </is>
      </c>
      <c r="C32" s="8" t="inlineStr">
        <is>
          <t>Rebalayer le répertoire Innoveici : 88 des 208 programmes étaient fermés au 5 août 2026</t>
        </is>
      </c>
      <c r="D32" s="8" t="inlineStr">
        <is>
          <t>Veille</t>
        </is>
      </c>
      <c r="E32" s="8" t="inlineStr">
        <is>
          <t>Récurrent</t>
        </is>
      </c>
      <c r="F32" s="8" t="inlineStr"/>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showGridLines="0"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72" customWidth="1" min="5" max="5"/>
  </cols>
  <sheetData>
    <row r="1" ht="24" customHeight="1">
      <c r="A1" s="1" t="inlineStr">
        <is>
          <t>Diagnostic financier — source des verdicts d'admissibilité</t>
        </is>
      </c>
    </row>
    <row r="2" ht="16" customHeight="1">
      <c r="A2" s="2" t="inlineStr">
        <is>
          <t>Extrait de QuickBooks Online (Les Produits Lasclay Inc) via le Finance Proxy, méthode d'exercice, le 5 août 2026. FY2026 court du 1er sept 2025 au 31 août 2026 et n'est pas clôturé.</t>
        </is>
      </c>
    </row>
    <row r="4" ht="32" customHeight="1">
      <c r="A4" s="3" t="inlineStr">
        <is>
          <t>Poste</t>
        </is>
      </c>
      <c r="B4" s="3" t="inlineStr">
        <is>
          <t>FY2024</t>
        </is>
      </c>
      <c r="C4" s="3" t="inlineStr">
        <is>
          <t>FY2025</t>
        </is>
      </c>
      <c r="D4" s="3" t="inlineStr">
        <is>
          <t>FY2026</t>
        </is>
      </c>
      <c r="E4" s="3" t="inlineStr">
        <is>
          <t>Pourquoi ça compte pour une demande</t>
        </is>
      </c>
    </row>
    <row r="5" ht="30" customHeight="1">
      <c r="A5" s="5" t="inlineStr">
        <is>
          <t>Revenus totaux</t>
        </is>
      </c>
      <c r="B5" s="7" t="n">
        <v>504925.92</v>
      </c>
      <c r="C5" s="7" t="n">
        <v>879125.39</v>
      </c>
      <c r="D5" s="7" t="n">
        <v>1081908.44</v>
      </c>
      <c r="E5" s="8" t="inlineStr">
        <is>
          <t>Sous le seuil de 2 M$ de l'IRRT et sous les 3 M$ de FRONTIÈRE. Cumul sur trois exercices au-dessus de 2 M$, ce qui exclut Fonds Impulsion.</t>
        </is>
      </c>
    </row>
    <row r="6" ht="30" customHeight="1">
      <c r="A6" s="5" t="inlineStr">
        <is>
          <t>Coût des marchandises vendues</t>
        </is>
      </c>
      <c r="B6" s="7" t="n">
        <v>174037.48</v>
      </c>
      <c r="C6" s="7" t="n">
        <v>237003.81</v>
      </c>
      <c r="D6" s="7" t="n">
        <v>418885.73</v>
      </c>
      <c r="E6" s="8" t="inlineStr">
        <is>
          <t>La hausse suit la sous-traitance tunisienne.</t>
        </is>
      </c>
    </row>
    <row r="7" ht="30" customHeight="1">
      <c r="A7" s="5" t="inlineStr">
        <is>
          <t>Marge brute</t>
        </is>
      </c>
      <c r="B7" s="18">
        <f>(B5-B6)/B5</f>
        <v>0.6553207646777174</v>
      </c>
      <c r="C7" s="18">
        <f>(C5-C6)/C5</f>
        <v>0.7304095494273007</v>
      </c>
      <c r="D7" s="18">
        <f>(D5-D6)/D5</f>
        <v>0.6128270059525555</v>
      </c>
      <c r="E7" s="8" t="inlineStr">
        <is>
          <t>Recul de 11,7 points en un exercice, pendant la première année complète du virage manufacturier.</t>
        </is>
      </c>
    </row>
    <row r="8" ht="30" customHeight="1">
      <c r="A8" s="5" t="inlineStr">
        <is>
          <t>Sous-traitance (dont couture)</t>
        </is>
      </c>
      <c r="B8" s="7" t="n">
        <v>52325.54</v>
      </c>
      <c r="C8" s="7" t="n">
        <v>92252.31</v>
      </c>
      <c r="D8" s="7" t="n">
        <v>187393.15</v>
      </c>
      <c r="E8" s="8" t="inlineStr">
        <is>
          <t>Preuve du virage vers l'assemblage externe — utile pour cadrer un dossier manufacturier.</t>
        </is>
      </c>
    </row>
    <row r="9" ht="30" customHeight="1">
      <c r="A9" s="5" t="inlineStr">
        <is>
          <t>Marketing</t>
        </is>
      </c>
      <c r="B9" s="7" t="n">
        <v>102361.34</v>
      </c>
      <c r="C9" s="7" t="n">
        <v>247565.96</v>
      </c>
      <c r="D9" s="7" t="n">
        <v>315286.31</v>
      </c>
      <c r="E9" s="8" t="inlineStr">
        <is>
          <t>29,1 % du chiffre d'affaires en FY2026. Facebook Ads seul : 266 451 $, soit 24,6 %.</t>
        </is>
      </c>
    </row>
    <row r="10" ht="30" customHeight="1">
      <c r="A10" s="5" t="inlineStr">
        <is>
          <t>Recherche et développement</t>
        </is>
      </c>
      <c r="B10" s="7" t="n">
        <v>38302.12</v>
      </c>
      <c r="C10" s="7" t="n">
        <v>51888.78</v>
      </c>
      <c r="D10" s="7" t="n">
        <v>116641.89</v>
      </c>
      <c r="E10" s="8" t="inlineStr">
        <is>
          <t>Assiette de la réclamation RS&amp;DE et CRIC. Le compte 6061 porte 103 364 $ de salaires RSDE en FY2026.</t>
        </is>
      </c>
    </row>
    <row r="11" ht="30" customHeight="1">
      <c r="A11" s="5" t="inlineStr">
        <is>
          <t>Intérêts</t>
        </is>
      </c>
      <c r="B11" s="7" t="n">
        <v>22812.95</v>
      </c>
      <c r="C11" s="7" t="n">
        <v>35358.59</v>
      </c>
      <c r="D11" s="7" t="n">
        <v>53073.96</v>
      </c>
      <c r="E11" s="8" t="inlineStr">
        <is>
          <t>Coût du financement par avances marchandes. Frais financiers totaux FY2026 : 87 247 $.</t>
        </is>
      </c>
    </row>
    <row r="12" ht="30" customHeight="1">
      <c r="A12" s="5" t="inlineStr">
        <is>
          <t>Ventes Shopify USA (nettes)</t>
        </is>
      </c>
      <c r="B12" s="7" t="n">
        <v>7185.17</v>
      </c>
      <c r="C12" s="7" t="n">
        <v>212135.35</v>
      </c>
      <c r="D12" s="7" t="n">
        <v>86089.92999999999</v>
      </c>
      <c r="E12" s="8" t="inlineStr">
        <is>
          <t>Chute de 59 % : preuve documentée de l'impact tarifaire. Malheureusement inutilisable, faute du seuil de revenus de l'IRRT.</t>
        </is>
      </c>
    </row>
    <row r="13" ht="30" customHeight="1">
      <c r="A13" s="5" t="inlineStr">
        <is>
          <t>Résultat de l'exercice</t>
        </is>
      </c>
      <c r="B13" s="7" t="n">
        <v>-18401.4</v>
      </c>
      <c r="C13" s="7" t="n">
        <v>4203.66</v>
      </c>
      <c r="D13" s="7" t="n">
        <v>-142744.79</v>
      </c>
      <c r="E13" s="8" t="inlineStr">
        <is>
          <t>Une perte bloque tout critère de « capacité financière à mener le projet à terme » et toute analyse de crédit.</t>
        </is>
      </c>
    </row>
    <row r="15">
      <c r="A15" s="19" t="inlineStr">
        <is>
          <t>BILAN AU 5 AOÛT 2026</t>
        </is>
      </c>
    </row>
    <row r="16">
      <c r="A16" s="20" t="inlineStr">
        <is>
          <t>Poste</t>
        </is>
      </c>
      <c r="B16" s="20" t="inlineStr">
        <is>
          <t>Montant</t>
        </is>
      </c>
      <c r="E16" s="20" t="inlineStr">
        <is>
          <t>Conséquence</t>
        </is>
      </c>
    </row>
    <row r="17" ht="28" customHeight="1">
      <c r="A17" s="21" t="inlineStr">
        <is>
          <t>Trésorerie</t>
        </is>
      </c>
      <c r="B17" s="22" t="n">
        <v>-2059.89</v>
      </c>
      <c r="E17" s="8" t="inlineStr">
        <is>
          <t>Compte chèques à -8 411 $, PayPal 6 346 $. Aucune capacité d'avancer une mise de fonds.</t>
        </is>
      </c>
    </row>
    <row r="18" ht="28" customHeight="1">
      <c r="A18" s="21" t="inlineStr">
        <is>
          <t>Inventaires</t>
        </is>
      </c>
      <c r="B18" s="22" t="n">
        <v>286840.01</v>
      </c>
      <c r="E18" s="8" t="inlineStr">
        <is>
          <t>Matières 136 350 $, en cours 18 897 $, produits finis 131 594 $. Le fonds de roulement positif est entièrement immobilisé là.</t>
        </is>
      </c>
    </row>
    <row r="19" ht="28" customHeight="1">
      <c r="A19" s="21" t="inlineStr">
        <is>
          <t>Total des actifs</t>
        </is>
      </c>
      <c r="B19" s="22" t="n">
        <v>414753.42</v>
      </c>
      <c r="E19" s="8" t="inlineStr"/>
    </row>
    <row r="20" ht="28" customHeight="1">
      <c r="A20" s="21" t="inlineStr">
        <is>
          <t>Marge de crédit EDC utilisée</t>
        </is>
      </c>
      <c r="B20" s="22" t="n">
        <v>142241.9</v>
      </c>
      <c r="E20" s="8" t="inlineStr">
        <is>
          <t>Sur une limite de 150 000 $, soit 94,8 %. Aucune marge de manœuvre restante.</t>
        </is>
      </c>
    </row>
    <row r="21" ht="28" customHeight="1">
      <c r="A21" s="21" t="inlineStr">
        <is>
          <t>Dette portant intérêt</t>
        </is>
      </c>
      <c r="B21" s="22" t="n">
        <v>584320.3199999999</v>
      </c>
      <c r="E21" s="8" t="inlineStr">
        <is>
          <t>EDC 142 242 $, Shopify Capital 186 419 $, Merchant Growth 124 446 $, BDC 90 633 $, AccordD 40 581 $.</t>
        </is>
      </c>
    </row>
    <row r="22" ht="28" customHeight="1">
      <c r="A22" s="21" t="inlineStr">
        <is>
          <t>Total des obligations</t>
        </is>
      </c>
      <c r="B22" s="22" t="n">
        <v>668787.98</v>
      </c>
      <c r="E22" s="8" t="inlineStr"/>
    </row>
    <row r="23" ht="28" customHeight="1">
      <c r="A23" s="21" t="inlineStr">
        <is>
          <t>Capitaux propres</t>
        </is>
      </c>
      <c r="B23" s="22" t="n">
        <v>-254034.56</v>
      </c>
      <c r="E23" s="8" t="inlineStr">
        <is>
          <t>Déficit accumulé. Bloque toute analyse de crédit chez IQ, BDC et DEC pour un prêt significatif.</t>
        </is>
      </c>
    </row>
    <row r="24" ht="28" customHeight="1">
      <c r="A24" s="21" t="inlineStr">
        <is>
          <t>Immobilisations nettes</t>
        </is>
      </c>
      <c r="B24" s="22" t="n">
        <v>128847.96</v>
      </c>
      <c r="E24" s="8" t="inlineStr">
        <is>
          <t>Équipements 135 851 $ au coût. Assiette potentielle du crédit C3i.</t>
        </is>
      </c>
    </row>
    <row r="26">
      <c r="A26" s="23" t="inlineStr">
        <is>
          <t>Source : QuickBooks Online, Les Produits Lasclay Inc, rapports ProfitAndLoss et BalanceSheet, méthode d'exercice, extraits le 5 août 2026 via le Finance Proxy.</t>
        </is>
      </c>
    </row>
  </sheetData>
  <mergeCells count="3">
    <mergeCell ref="A2:E2"/>
    <mergeCell ref="A1:E1"/>
    <mergeCell ref="A26:E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44" customWidth="1" min="1" max="1"/>
    <col width="66" customWidth="1" min="2" max="2"/>
    <col width="70" customWidth="1" min="3" max="3"/>
    <col width="14" customWidth="1" min="4" max="4"/>
  </cols>
  <sheetData>
    <row r="1" ht="24" customHeight="1">
      <c r="A1" s="1" t="inlineStr">
        <is>
          <t>Sources vérifiées</t>
        </is>
      </c>
    </row>
    <row r="2" ht="16" customHeight="1">
      <c r="A2" s="2" t="inlineStr">
        <is>
          <t>Chaque verdict du plan s'appuie sur un critère publié, pas sur une estimation.</t>
        </is>
      </c>
    </row>
    <row r="4" ht="32" customHeight="1">
      <c r="A4" s="3" t="inlineStr">
        <is>
          <t>Source</t>
        </is>
      </c>
      <c r="B4" s="3" t="inlineStr">
        <is>
          <t>Ce qu'elle a servi à établir</t>
        </is>
      </c>
      <c r="C4" s="3" t="inlineStr">
        <is>
          <t>Lien</t>
        </is>
      </c>
      <c r="D4" s="3" t="inlineStr">
        <is>
          <t>Vérifié le</t>
        </is>
      </c>
    </row>
    <row r="5" ht="30" customHeight="1">
      <c r="A5" s="5" t="inlineStr">
        <is>
          <t>Innoveici — répertoire des ressources d'aide</t>
        </is>
      </c>
      <c r="B5" s="8" t="inlineStr">
        <is>
          <t>Univers de départ : 208 programmes de financement extraits par l'API du site, dont 88 fermés.</t>
        </is>
      </c>
      <c r="C5" s="9" t="inlineStr">
        <is>
          <t>https://innoveici.quebec/repertoire-des-ressources-daide/</t>
        </is>
      </c>
      <c r="D5" s="5" t="inlineStr">
        <is>
          <t>2026-08-05</t>
        </is>
      </c>
    </row>
    <row r="6" ht="30" customHeight="1">
      <c r="A6" s="5" t="inlineStr">
        <is>
          <t>DEC — Initiative régionale de réponse tarifaire</t>
        </is>
      </c>
      <c r="B6" s="8" t="inlineStr">
        <is>
          <t>Seuil de 2 M$ de chiffre d'affaires et rejet automatique. Motif d'exclusion.</t>
        </is>
      </c>
      <c r="C6" s="9" t="inlineStr">
        <is>
          <t>https://www.canada.ca/fr/developpement-economique-regions-quebec/financement-services/initiative-regionale-de-reponse-tarifaire.html</t>
        </is>
      </c>
      <c r="D6" s="5" t="inlineStr">
        <is>
          <t>2026-08-05</t>
        </is>
      </c>
    </row>
    <row r="7" ht="30" customHeight="1">
      <c r="A7" s="5" t="inlineStr">
        <is>
          <t>DEC — Expansion des entreprises et productivité</t>
        </is>
      </c>
      <c r="B7" s="8" t="inlineStr">
        <is>
          <t>Secteurs admissibles et exclusion explicite du commerce de détail. Aucun seuil de revenus.</t>
        </is>
      </c>
      <c r="C7" s="9" t="inlineStr">
        <is>
          <t>https://www.canada.ca/fr/developpement-economique-regions-quebec/financement-services/expansion-des-entreprises-et-productivite.html</t>
        </is>
      </c>
      <c r="D7" s="5" t="inlineStr">
        <is>
          <t>2026-08-05</t>
        </is>
      </c>
    </row>
    <row r="8" ht="30" customHeight="1">
      <c r="A8" s="5" t="inlineStr">
        <is>
          <t>Affaires mondiales Canada — CanExport PME 2026-27</t>
        </is>
      </c>
      <c r="B8" s="8" t="inlineStr">
        <is>
          <t>Fenêtre du 4 février au 31 août 2026 et épuisement de l'enveloppe américaine de 3,1 M$.</t>
        </is>
      </c>
      <c r="C8" s="9" t="inlineStr">
        <is>
          <t>https://www.deleguescommerciaux.gc.ca/fr/nos-solutions/soutien-financier-expansion-commerciale-international/canexport-pme/nouveau-2026-2027.html</t>
        </is>
      </c>
      <c r="D8" s="5" t="inlineStr">
        <is>
          <t>2026-08-05</t>
        </is>
      </c>
    </row>
    <row r="9" ht="30" customHeight="1">
      <c r="A9" s="5" t="inlineStr">
        <is>
          <t>Ville de Québec — Capitale-Innovation</t>
        </is>
      </c>
      <c r="B9" s="8" t="inlineStr">
        <is>
          <t>Admissibilité du secteur « Manufacturier, matériaux, transformation industrielle ». Plafonds de 500 k$, 50 % puis 40 %, cumul public 70 %.</t>
        </is>
      </c>
      <c r="C9" s="9" t="inlineStr">
        <is>
          <t>https://www.ville.quebec.qc.ca/gens_affaires/financement/innovation/capitale-innovation.aspx</t>
        </is>
      </c>
      <c r="D9" s="5" t="inlineStr">
        <is>
          <t>2026-08-05</t>
        </is>
      </c>
    </row>
    <row r="10" ht="30" customHeight="1">
      <c r="A10" s="5" t="inlineStr">
        <is>
          <t>FAQDD — Fonds Écoleader</t>
        </is>
      </c>
      <c r="B10" s="8" t="inlineStr">
        <is>
          <t>Fermeture du volet Soutien à l'implantation et création du volet Biodiversité de 5,7 M$, 2026-2028.</t>
        </is>
      </c>
      <c r="C10" s="9" t="inlineStr">
        <is>
          <t>https://faqdd.qc.ca/programmes/fonds-ecoleader-biodiversite/</t>
        </is>
      </c>
      <c r="D10" s="5" t="inlineStr">
        <is>
          <t>2026-08-05</t>
        </is>
      </c>
    </row>
    <row r="11" ht="30" customHeight="1">
      <c r="A11" s="5" t="inlineStr">
        <is>
          <t>Revenu Québec — CRIC</t>
        </is>
      </c>
      <c r="B11" s="8" t="inlineStr">
        <is>
          <t>Remplacement de 8 crédits, taux de 30 % sur le premier 1 M$, exercices ouverts après le 25 mars 2025, non-cumul avec le C3i.</t>
        </is>
      </c>
      <c r="C11" s="9" t="inlineStr">
        <is>
          <t>https://www.revenuquebec.ca/fr/salle-de-presse/nouvelles-fiscales/details/2025-07-09/credit-dimpot-pour-la-r-d-linnovation-et-la-precommercialisation/</t>
        </is>
      </c>
      <c r="D11" s="5" t="inlineStr">
        <is>
          <t>2026-08-05</t>
        </is>
      </c>
    </row>
    <row r="12" ht="30" customHeight="1">
      <c r="A12" s="5" t="inlineStr">
        <is>
          <t>Investissement Québec — FRONTIÈRE</t>
        </is>
      </c>
      <c r="B12" s="8" t="inlineStr">
        <is>
          <t>Seuil de 3 M$ de revenus, exigence de rentabilité, fermeture du dépôt le 31 mars 2026.</t>
        </is>
      </c>
      <c r="C12" s="9" t="inlineStr">
        <is>
          <t>https://investquebec.com/quebec/fr/financement/frontiere.html</t>
        </is>
      </c>
      <c r="D12" s="5" t="inlineStr">
        <is>
          <t>2026-08-05</t>
        </is>
      </c>
    </row>
    <row r="13" ht="30" customHeight="1">
      <c r="A13" s="5" t="inlineStr">
        <is>
          <t>Initiative Québec Prêt d'Honneur (IQPH)</t>
        </is>
      </c>
      <c r="B13" s="8" t="inlineStr">
        <is>
          <t>Territoire pilote Capitale-Nationale, phases admissibles, prêt sans intérêt ni garantie, sélection à deux niveaux, documents et adresse de dépôt.</t>
        </is>
      </c>
      <c r="C13" s="9" t="inlineStr">
        <is>
          <t>https://www.iqph.org/l'organisme</t>
        </is>
      </c>
      <c r="D13" s="5" t="inlineStr">
        <is>
          <t>2026-08-05</t>
        </is>
      </c>
    </row>
    <row r="14" ht="30" customHeight="1">
      <c r="A14" s="5" t="inlineStr">
        <is>
          <t>CCIQ — annonce du partenariat IQPH</t>
        </is>
      </c>
      <c r="B14" s="8" t="inlineStr">
        <is>
          <t>Phase pilote dans la Capitale-Nationale, objectif de 48 entreprises et 12 M$ d'investissements générés sur 6 ans. Base de l'estimation du montant de prêt.</t>
        </is>
      </c>
      <c r="C14" s="9" t="inlineStr">
        <is>
          <t>https://cciquebec.ca/la-chambre-de-commerce-et-dindustrie-de-quebec-appuie-une-initiative-novatrice-pour-propulser-ses-entrepreneurs-quebec-pret-dhonneur-iqph/</t>
        </is>
      </c>
      <c r="D14" s="5" t="inlineStr">
        <is>
          <t>2026-08-05</t>
        </is>
      </c>
    </row>
    <row r="15" ht="30" customHeight="1">
      <c r="A15" s="5" t="inlineStr">
        <is>
          <t>Investissement Québec — PSCE volet 2</t>
        </is>
      </c>
      <c r="B15" s="8" t="inlineStr">
        <is>
          <t>Seuil d'admissibilité : chiffre d'affaires supérieur à 1 M$ et jusqu'à 50 M$. Aide maximale de 60 000 $ par entreprise par année, non remboursable. Statut fermé au 5 août 2026.</t>
        </is>
      </c>
      <c r="C15" s="9" t="inlineStr">
        <is>
          <t>https://www.investquebec.com/fr/financement/programmes-gouvernementaux/programme-de-soutien-la-commercialisation-et-lexportation/psce-volet-2</t>
        </is>
      </c>
      <c r="D15" s="5" t="inlineStr">
        <is>
          <t>2026-08-05</t>
        </is>
      </c>
    </row>
    <row r="16" ht="30" customHeight="1">
      <c r="A16" s="5" t="inlineStr">
        <is>
          <t>Investissement Québec — PSCE volet 2</t>
        </is>
      </c>
      <c r="B16" s="8" t="inlineStr">
        <is>
          <t>Seuil d'admissibilité : chiffre d'affaires supérieur à 1 M$ et jusqu'à 50 M$. Aide maximale de 60 000 $ par entreprise par année, non remboursable. Statut fermé au 5 août 2026.</t>
        </is>
      </c>
      <c r="C16" s="9" t="inlineStr">
        <is>
          <t>https://www.investquebec.com/fr/financement/programmes-gouvernementaux/programme-de-soutien-la-commercialisation-et-lexportation/psce-volet-2</t>
        </is>
      </c>
      <c r="D16" s="5" t="inlineStr">
        <is>
          <t>2026-08-05</t>
        </is>
      </c>
    </row>
    <row r="17" ht="30" customHeight="1">
      <c r="A17" s="5" t="inlineStr">
        <is>
          <t>TELUS — règlement #AidonsNosPME 2026</t>
        </is>
      </c>
      <c r="B17" s="8" t="inlineStr">
        <is>
          <t>Fenêtre du 2 juin au 2 septembre 2026, structure des prix, critère des 100 employés ou moins, absence de clause excluant les anciens lauréats.</t>
        </is>
      </c>
      <c r="C17" s="9" t="inlineStr">
        <is>
          <t>https://www.telus.com/fr/business/small/campaigns/stand-with-owners-content-rules</t>
        </is>
      </c>
      <c r="D17" s="5" t="inlineStr">
        <is>
          <t>2026-08-05</t>
        </is>
      </c>
    </row>
    <row r="18" ht="30" customHeight="1">
      <c r="A18" s="5" t="inlineStr">
        <is>
          <t>Boîte Missive de Lasclay</t>
        </is>
      </c>
      <c r="B18" s="8" t="inlineStr">
        <is>
          <t>Deux dossiers de concours déjà ouverts : La Ruche et Dans l'Œil du Dragon.</t>
        </is>
      </c>
      <c r="C18" s="5" t="inlineStr">
        <is>
          <t>(accès interne via le proxy Missive)</t>
        </is>
      </c>
      <c r="D18" s="5" t="inlineStr">
        <is>
          <t>2026-08-05</t>
        </is>
      </c>
    </row>
    <row r="19" ht="30" customHeight="1">
      <c r="A19" s="5" t="inlineStr">
        <is>
          <t>QuickBooks Online — Les Produits Lasclay Inc</t>
        </is>
      </c>
      <c r="B19" s="8" t="inlineStr">
        <is>
          <t>Tous les chiffres opposés aux critères : revenus, résultat, trésorerie, capitaux propres, dette, assiette R-D.</t>
        </is>
      </c>
      <c r="C19" s="5" t="inlineStr">
        <is>
          <t>(accès interne via le Finance Proxy)</t>
        </is>
      </c>
      <c r="D19" s="5" t="inlineStr">
        <is>
          <t>2026-08-05</t>
        </is>
      </c>
    </row>
  </sheetData>
  <mergeCells count="2">
    <mergeCell ref="A1:D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showGridLines="0" workbookViewId="0">
      <pane ySplit="4" topLeftCell="A5" activePane="bottomLeft" state="frozen"/>
      <selection pane="bottomLeft" activeCell="A1" sqref="A1"/>
    </sheetView>
  </sheetViews>
  <sheetFormatPr baseColWidth="8" defaultRowHeight="15"/>
  <cols>
    <col width="36" customWidth="1" min="1" max="1"/>
    <col width="30" customWidth="1" min="2" max="2"/>
    <col width="34" customWidth="1" min="3" max="3"/>
    <col width="32" customWidth="1" min="4" max="4"/>
    <col width="14" customWidth="1" min="5" max="5"/>
    <col width="74" customWidth="1" min="6" max="6"/>
    <col width="44" customWidth="1" min="7" max="7"/>
  </cols>
  <sheetData>
    <row r="1" ht="24" customHeight="1">
      <c r="A1" s="1" t="inlineStr">
        <is>
          <t>Concours et bourses — la catégorie que les répertoires publics ignorent</t>
        </is>
      </c>
    </row>
    <row r="2" ht="16" customHeight="1">
      <c r="A2" s="2" t="inlineStr">
        <is>
          <t>Innoveici et les portails gouvernementaux ne recensent que des programmes. Les concours sont ailleurs, n'exigent aucune mise de fonds, et Lasclay en a déjà gagné un.</t>
        </is>
      </c>
    </row>
    <row r="4" ht="32" customHeight="1">
      <c r="A4" s="3" t="inlineStr">
        <is>
          <t>Concours</t>
        </is>
      </c>
      <c r="B4" s="3" t="inlineStr">
        <is>
          <t>Organisateur</t>
        </is>
      </c>
      <c r="C4" s="3" t="inlineStr">
        <is>
          <t>Prix</t>
        </is>
      </c>
      <c r="D4" s="3" t="inlineStr">
        <is>
          <t>Cycle et date limite</t>
        </is>
      </c>
      <c r="E4" s="3" t="inlineStr">
        <is>
          <t>Verdict</t>
        </is>
      </c>
      <c r="F4" s="3" t="inlineStr">
        <is>
          <t>Ce qu'il faut savoir</t>
        </is>
      </c>
      <c r="G4" s="3" t="inlineStr">
        <is>
          <t>Lien</t>
        </is>
      </c>
    </row>
    <row r="5" ht="78" customHeight="1">
      <c r="A5" s="8" t="inlineStr">
        <is>
          <t>TELUS #AidonsNosPME</t>
        </is>
      </c>
      <c r="B5" s="8" t="inlineStr">
        <is>
          <t>TELUS Affaires</t>
        </is>
      </c>
      <c r="C5" s="8" t="inlineStr">
        <is>
          <t>3 grands prix jusqu'à 125 000 $ · 6 prix communautaires de 10 000 $ · 1 prix du public de 25 000 $</t>
        </is>
      </c>
      <c r="D5" s="17" t="inlineStr">
        <is>
          <t>Annuel · édition 2026 ouverte du 2 juin au 2 SEPTEMBRE 2026</t>
        </is>
      </c>
      <c r="E5" s="6" t="inlineStr">
        <is>
          <t>Admissible</t>
        </is>
      </c>
      <c r="F5" s="8" t="inlineStr">
        <is>
          <t>DÉJÀ GAGNÉ par Lasclay. Le dossier existe et le récit convainc ce jury. Entreprise canadienne en activité, 100 employés ou moins : rempli. Aucune clause excluant les anciens lauréats dans le règlement consulté, mais à faire confirmer par TELUS avant d'investir du temps. Lauréats annoncés vers le 24 septembre. Le prix du public se gagne par vote — c'est précisément là que la communauté de Lasclay vaut de l'or.</t>
        </is>
      </c>
      <c r="G5" s="24" t="inlineStr">
        <is>
          <t>https://www.telus.com/fr/business/small/campaigns/stand-with-owners</t>
        </is>
      </c>
    </row>
    <row r="6" ht="78" customHeight="1">
      <c r="A6" s="8" t="inlineStr">
        <is>
          <t>Défi OSEntreprendre — volet Réussite inc.</t>
        </is>
      </c>
      <c r="B6" s="8" t="inlineStr">
        <is>
          <t>OSEntreprendre / Desjardins</t>
        </is>
      </c>
      <c r="C6" s="8" t="inlineStr">
        <is>
          <t>Prix national de 25 000 $ au Gala des Grands Prix Desjardins</t>
        </is>
      </c>
      <c r="D6" s="8" t="inlineStr">
        <is>
          <t>Annuel · cycle novembre à juin · date limite autour du 11 mars</t>
        </is>
      </c>
      <c r="E6" s="6" t="inlineStr">
        <is>
          <t>Admissible</t>
        </is>
      </c>
      <c r="F6" s="8" t="inlineStr">
        <is>
          <t>Le volet Réussite inc. s'adresse aux entreprises qui reviennent plus de 5 ans après leur première participation, pour raconter leur parcours. Lasclay, fondée en 2020 et passée par un virage manufacturier public, a exactement le récit que ce volet cherche. Pas de sélection locale : la candidature monte directement au régional. Un prix Coup de cœur Développement durable existe aussi.</t>
        </is>
      </c>
      <c r="G6" s="24" t="inlineStr">
        <is>
          <t>https://www.osentreprendre.quebec/defi-osentreprendre/volet/reussite-inc/</t>
        </is>
      </c>
    </row>
    <row r="7" ht="78" customHeight="1">
      <c r="A7" s="8" t="inlineStr">
        <is>
          <t>Les Mercuriades</t>
        </is>
      </c>
      <c r="B7" s="8" t="inlineStr">
        <is>
          <t>Fédération des chambres de commerce du Québec</t>
        </is>
      </c>
      <c r="C7" s="8" t="inlineStr">
        <is>
          <t>13 catégories + Entreprise de l'année Hydro-Québec. Prestige et visibilité, peu d'argent</t>
        </is>
      </c>
      <c r="D7" s="8" t="inlineStr">
        <is>
          <t>Annuel · gala en mai · candidatures à l'automne</t>
        </is>
      </c>
      <c r="E7" s="10" t="inlineStr">
        <is>
          <t>À valider</t>
        </is>
      </c>
      <c r="F7" s="8" t="inlineStr">
        <is>
          <t>Le concours d'affaires le plus prestigieux du Québec, 46e édition. Catégories pertinentes : développement durable, innovation, exportation. La valeur est la visibilité et la crédibilité auprès des bailleurs, pas le chèque. Un lauréat ou finaliste Mercuriades pèse dans un dossier IQ ou DEC déposé l'année suivante.</t>
        </is>
      </c>
      <c r="G7" s="24" t="inlineStr">
        <is>
          <t>https://mercuriades.ca/le-concours-admissibilite-et-categories/</t>
        </is>
      </c>
    </row>
    <row r="8" ht="78" customHeight="1">
      <c r="A8" s="8" t="inlineStr">
        <is>
          <t>Phénix de l'environnement</t>
        </is>
      </c>
      <c r="B8" s="8" t="inlineStr">
        <is>
          <t>MELCCFP, Éco Entreprises Québec, Fondation québécoise en environnement</t>
        </is>
      </c>
      <c r="C8" s="8" t="inlineStr">
        <is>
          <t>Prestige, pas de bourse significative</t>
        </is>
      </c>
      <c r="D8" s="8" t="inlineStr">
        <is>
          <t>Annuel · dépôt avant le 8 mars</t>
        </is>
      </c>
      <c r="E8" s="10" t="inlineStr">
        <is>
          <t>À valider</t>
        </is>
      </c>
      <c r="F8" s="8" t="inlineStr">
        <is>
          <t>Le fit de mission le plus pur de toute la liste : une entreprise qui bâtit une filière économique pour restaurer l'habitat du monarque. Aucun argent direct, mais c'est la reconnaissance qui crédibilise le dossier Écoleader Biodiversité et tout discours d'impact devant un comité. À déposer la même année que la candidature Écoleader.</t>
        </is>
      </c>
      <c r="G8" s="24" t="inlineStr">
        <is>
          <t>https://www.environnement.gouv.qc.ca/</t>
        </is>
      </c>
    </row>
    <row r="9" ht="78" customHeight="1">
      <c r="A9" s="8" t="inlineStr">
        <is>
          <t>Concours Ascension</t>
        </is>
      </c>
      <c r="B9" s="8" t="inlineStr">
        <is>
          <t>Jeune Chambre de commerce de Québec / Desjardins Entreprises</t>
        </is>
      </c>
      <c r="C9" s="8" t="inlineStr">
        <is>
          <t>Bourse de plus de 60 000 $ en biens et services, 6 lauréats</t>
        </is>
      </c>
      <c r="D9" s="8" t="inlineStr">
        <is>
          <t>Annuel · finalistes annoncés en janvier · gala en mai</t>
        </is>
      </c>
      <c r="E9" s="10" t="inlineStr">
        <is>
          <t>À valider</t>
        </is>
      </c>
      <c r="F9" s="8" t="inlineStr">
        <is>
          <t>Concours de pitch réservé aux MEMBRES de la JCCQ dirigeant une jeune entreprise. Deux vérifications avant d'investir : l'adhésion à la JCCQ, et si une entreprise de 6 ans entre encore dans la définition de « jeune entreprise ». La bourse est en biens et services, pas en argent — utile surtout pour des honoraires professionnels.</t>
        </is>
      </c>
      <c r="G9" s="24" t="inlineStr">
        <is>
          <t>https://www.jccq.qc.ca/concours-ascension</t>
        </is>
      </c>
    </row>
    <row r="10" ht="78" customHeight="1">
      <c r="A10" s="8" t="inlineStr">
        <is>
          <t>La Ruche — sociofinancement</t>
        </is>
      </c>
      <c r="B10" s="8" t="inlineStr">
        <is>
          <t>La Ruche Québec</t>
        </is>
      </c>
      <c r="C10" s="8" t="inlineStr">
        <is>
          <t>Selon la campagne, avec effet de levier de partenaires qui doublent parfois les mises</t>
        </is>
      </c>
      <c r="D10" s="8" t="inlineStr">
        <is>
          <t>En continu</t>
        </is>
      </c>
      <c r="E10" s="10" t="inlineStr">
        <is>
          <t>À valider</t>
        </is>
      </c>
      <c r="F10" s="8" t="inlineStr">
        <is>
          <t>DOSSIER DÉJÀ OUVERT : un fil de la boîte Missive demande « Souhaitez-vous arrêter vos démarches de financement sur La Ruche ? ». À trancher, dans un sens ou dans l'autre. Le sociofinancement est le véhicule qui exploite le mieux une communauté engagée, et c'est l'actif le plus sous-utilisé de Lasclay après les crédits d'impôt.</t>
        </is>
      </c>
      <c r="G10" s="24" t="inlineStr">
        <is>
          <t>https://laruchequebec.com/</t>
        </is>
      </c>
    </row>
    <row r="11" ht="78" customHeight="1">
      <c r="A11" s="8" t="inlineStr">
        <is>
          <t>Dans l'Œil du Dragon</t>
        </is>
      </c>
      <c r="B11" s="8" t="inlineStr">
        <is>
          <t>Radio-Canada</t>
        </is>
      </c>
      <c r="C11" s="8" t="inlineStr">
        <is>
          <t>Investissement contre participation au capital</t>
        </is>
      </c>
      <c r="D11" s="8" t="inlineStr">
        <is>
          <t>Par saison · appel de candidatures annuel</t>
        </is>
      </c>
      <c r="E11" s="10" t="inlineStr">
        <is>
          <t>À valider</t>
        </is>
      </c>
      <c r="F11" s="8" t="inlineStr">
        <is>
          <t>CANDIDATURE DÉJÀ DÉPOSÉE : un fil « Dans l'Œil du Dragon — Suivi de candidature » existe dans la boîte Missive. Ce n'est pas une bourse mais un investissement dilutif, et la valeur réelle est l'exposition télévisuelle nationale. À traiter comme un canal de vente, pas comme du financement.</t>
        </is>
      </c>
      <c r="G11" s="24" t="inlineStr">
        <is>
          <t>https://ici.radio-canada.ca/</t>
        </is>
      </c>
    </row>
    <row r="12" ht="78" customHeight="1">
      <c r="A12" s="8" t="inlineStr">
        <is>
          <t>FedEx #BackingSmall Canada</t>
        </is>
      </c>
      <c r="B12" s="8" t="inlineStr">
        <is>
          <t>FedEx Canada</t>
        </is>
      </c>
      <c r="C12" s="8" t="inlineStr">
        <is>
          <t>Environ 100 000 $ répartis entre plusieurs lauréats canadiens</t>
        </is>
      </c>
      <c r="D12" s="8" t="inlineStr">
        <is>
          <t>Irrégulier · édition 2025 tenue, statut 2026 à confirmer</t>
        </is>
      </c>
      <c r="E12" s="10" t="inlineStr">
        <is>
          <t>À valider</t>
        </is>
      </c>
      <c r="F12" s="8" t="inlineStr">
        <is>
          <t>Le programme américain FedEx Small Business Grants est retiré depuis 2024, mais le volet canadien #BackingSmall a tenu une édition en 2025. À vérifier directement sur fedex.ca : si l'édition 2026 a lieu, le profil de Lasclay — produit physique, expédition, récit fort — est exactement leur cible.</t>
        </is>
      </c>
      <c r="G12" s="24" t="inlineStr">
        <is>
          <t>https://www.fedex.com/en-ca/small-business/backing-small.html</t>
        </is>
      </c>
    </row>
    <row r="14" ht="26" customHeight="1">
      <c r="A14" s="15" t="inlineStr">
        <is>
          <t>• Les concours n'exigent aucune mise de fonds et ne se remboursent pas. Dans la situation de trésorerie actuelle, c'est leur principal mérite.</t>
        </is>
      </c>
    </row>
    <row r="15" ht="26" customHeight="1">
      <c r="A15" s="15" t="inlineStr">
        <is>
          <t>• Ce sont des loteries : une dizaine de gagnants pour des milliers de candidatures. Le calcul tient parce que l'effort de dépôt est faible et que Lasclay part avec un avantage réel — un récit qui a déjà converti chez TELUS, une communauté qui vote, et une mission vérifiable.</t>
        </is>
      </c>
    </row>
    <row r="16" ht="26" customHeight="1">
      <c r="A16" s="15" t="inlineStr">
        <is>
          <t>• Deux dossiers sont déjà ouverts et attendent une décision : La Ruche et Dans l'Œil du Dragon. Les deux apparaissent dans la boîte Missive.</t>
        </is>
      </c>
    </row>
    <row r="17" ht="26" customHeight="1">
      <c r="A17" s="15" t="inlineStr">
        <is>
          <t>• Ceux qui ne donnent pas d'argent — Mercuriades, Phénix — se déposent quand même : un titre de finaliste change la lecture d'un dossier devant un comité d'IQ, de DEC ou de l'IQPH l'année suivante.</t>
        </is>
      </c>
    </row>
  </sheetData>
  <mergeCells count="6">
    <mergeCell ref="A16:F16"/>
    <mergeCell ref="A1:G1"/>
    <mergeCell ref="A14:F14"/>
    <mergeCell ref="A2:G2"/>
    <mergeCell ref="A17:F17"/>
    <mergeCell ref="A15:F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2026-08-07T15:41:41Z</dcterms:created>
  <dcterms:modified xsi:type="dcterms:W3CDTF">2026-08-07T15:41:41Z</dcterms:modified>
</cp:coreProperties>
</file>